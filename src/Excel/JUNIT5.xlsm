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GAS\UT\ut_java\src\Excel\"/>
    </mc:Choice>
  </mc:AlternateContent>
  <xr:revisionPtr revIDLastSave="0" documentId="13_ncr:1_{65377666-D91E-4545-BED4-C8EE130AAFCA}" xr6:coauthVersionLast="47" xr6:coauthVersionMax="47" xr10:uidLastSave="{00000000-0000-0000-0000-000000000000}"/>
  <bookViews>
    <workbookView xWindow="-23148" yWindow="744" windowWidth="23256" windowHeight="12456" activeTab="3" xr2:uid="{00000000-000D-0000-FFFF-FFFF00000000}"/>
  </bookViews>
  <sheets>
    <sheet name="レビュー登録" sheetId="1" r:id="rId1"/>
    <sheet name="レビュー登録_単体テスト" sheetId="18" r:id="rId2"/>
    <sheet name="タスク登録" sheetId="8" r:id="rId3"/>
    <sheet name="タスク登録_単体テスト" sheetId="19" r:id="rId4"/>
    <sheet name="if◀▶tt" sheetId="15" r:id="rId5"/>
    <sheet name="Sheet3" sheetId="10" r:id="rId6"/>
    <sheet name="Sheet4" sheetId="11" r:id="rId7"/>
    <sheet name="Sheet2" sheetId="9" r:id="rId8"/>
    <sheet name="tt◀▶fmt" sheetId="14" r:id="rId9"/>
    <sheet name="フォーマットIF" sheetId="13" r:id="rId10"/>
    <sheet name="フォーマット単体" sheetId="12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9" l="1"/>
  <c r="E14" i="19"/>
  <c r="I15" i="19"/>
  <c r="G15" i="19"/>
  <c r="E15" i="19"/>
  <c r="I14" i="19"/>
  <c r="I13" i="19"/>
  <c r="H13" i="19"/>
  <c r="G13" i="19"/>
  <c r="E13" i="19"/>
  <c r="I17" i="19"/>
  <c r="H17" i="19"/>
  <c r="G17" i="19"/>
  <c r="E17" i="19"/>
  <c r="I16" i="19"/>
  <c r="H16" i="19"/>
  <c r="G16" i="19"/>
  <c r="E16" i="19"/>
  <c r="I12" i="19"/>
  <c r="I10" i="19"/>
  <c r="H10" i="19"/>
  <c r="G10" i="19"/>
  <c r="E10" i="19"/>
  <c r="I9" i="19"/>
  <c r="H9" i="19"/>
  <c r="G9" i="19"/>
  <c r="E9" i="19"/>
  <c r="I18" i="18"/>
  <c r="F18" i="18"/>
  <c r="I17" i="18"/>
  <c r="F17" i="18"/>
  <c r="I15" i="18"/>
  <c r="F15" i="18"/>
  <c r="I14" i="18"/>
  <c r="F14" i="18"/>
  <c r="I13" i="18"/>
  <c r="F13" i="18"/>
  <c r="I12" i="18"/>
  <c r="F12" i="18"/>
  <c r="I10" i="18"/>
  <c r="F10" i="18"/>
  <c r="I9" i="18"/>
  <c r="F9" i="18"/>
  <c r="I17" i="12"/>
  <c r="G17" i="12"/>
  <c r="E17" i="12"/>
  <c r="I16" i="12"/>
  <c r="G16" i="12"/>
  <c r="E16" i="12"/>
  <c r="I14" i="12"/>
  <c r="H14" i="12"/>
  <c r="G14" i="12"/>
  <c r="E14" i="12"/>
  <c r="I13" i="12"/>
  <c r="H13" i="12"/>
  <c r="G13" i="12"/>
  <c r="E13" i="12"/>
  <c r="I12" i="12"/>
  <c r="H12" i="12"/>
  <c r="G12" i="12"/>
  <c r="E12" i="12"/>
  <c r="I10" i="12"/>
  <c r="H10" i="12"/>
  <c r="G10" i="12"/>
  <c r="E10" i="12"/>
  <c r="I9" i="12"/>
  <c r="H9" i="12"/>
  <c r="G9" i="12"/>
  <c r="E9" i="12"/>
  <c r="I18" i="10"/>
  <c r="F18" i="10"/>
  <c r="I17" i="10"/>
  <c r="F17" i="10"/>
  <c r="I15" i="10"/>
  <c r="F15" i="10"/>
  <c r="I14" i="10"/>
  <c r="F14" i="10"/>
  <c r="I13" i="10"/>
  <c r="F13" i="10"/>
  <c r="I12" i="10"/>
  <c r="F12" i="10"/>
  <c r="I10" i="10"/>
  <c r="F10" i="10"/>
  <c r="I9" i="10"/>
  <c r="F9" i="10"/>
  <c r="I17" i="9"/>
  <c r="G17" i="9"/>
  <c r="E17" i="9"/>
  <c r="I16" i="9"/>
  <c r="G16" i="9"/>
  <c r="E16" i="9"/>
  <c r="I14" i="9"/>
  <c r="H14" i="9"/>
  <c r="G14" i="9"/>
  <c r="E14" i="9"/>
  <c r="I13" i="9"/>
  <c r="H13" i="9"/>
  <c r="G13" i="9"/>
  <c r="E13" i="9"/>
  <c r="I12" i="9"/>
  <c r="H12" i="9"/>
  <c r="G12" i="9"/>
  <c r="E12" i="9"/>
  <c r="I10" i="9"/>
  <c r="H10" i="9"/>
  <c r="G10" i="9"/>
  <c r="E10" i="9"/>
  <c r="I9" i="9"/>
  <c r="H9" i="9"/>
  <c r="G9" i="9"/>
  <c r="E9" i="9"/>
</calcChain>
</file>

<file path=xl/sharedStrings.xml><?xml version="1.0" encoding="utf-8"?>
<sst xmlns="http://schemas.openxmlformats.org/spreadsheetml/2006/main" count="587" uniqueCount="129">
  <si>
    <t>エンドポイント</t>
  </si>
  <si>
    <t>/regist-review</t>
  </si>
  <si>
    <t>HTTPメソッド</t>
  </si>
  <si>
    <t>POST</t>
  </si>
  <si>
    <t>機能名</t>
  </si>
  <si>
    <t>registReview</t>
  </si>
  <si>
    <t>リクエストフォーム</t>
  </si>
  <si>
    <t>項目チェック</t>
  </si>
  <si>
    <t>論理名</t>
  </si>
  <si>
    <t>物理名</t>
  </si>
  <si>
    <t>型</t>
  </si>
  <si>
    <t>必須</t>
  </si>
  <si>
    <t>最小</t>
  </si>
  <si>
    <t>最大</t>
  </si>
  <si>
    <t>enum</t>
  </si>
  <si>
    <t>アノテーション</t>
  </si>
  <si>
    <t>エラーメッセージ</t>
  </si>
  <si>
    <t>レビューフォーム</t>
  </si>
  <si>
    <t>reviewRegistForm</t>
  </si>
  <si>
    <t>ReviewRegistForm</t>
  </si>
  <si>
    <t>レストランID</t>
  </si>
  <si>
    <t>@NotNull</t>
  </si>
  <si>
    <t>入力してください。</t>
  </si>
  <si>
    <t>restaurantId</t>
  </si>
  <si>
    <t>Integer</t>
  </si>
  <si>
    <t>有</t>
  </si>
  <si>
    <t>@Min</t>
  </si>
  <si>
    <t>正の整数を入力してください。</t>
  </si>
  <si>
    <t>ユーザーID</t>
  </si>
  <si>
    <t>userId</t>
  </si>
  <si>
    <t>String</t>
  </si>
  <si>
    <t>@Size</t>
  </si>
  <si>
    <t>○文字から○文字で指定してください。</t>
  </si>
  <si>
    <t>訪問日</t>
  </si>
  <si>
    <t>visitDate</t>
  </si>
  <si>
    <t>Date</t>
  </si>
  <si>
    <t>@Past</t>
  </si>
  <si>
    <t>今日以前の日付を入力してください。</t>
  </si>
  <si>
    <t>評価</t>
  </si>
  <si>
    <t>rating</t>
  </si>
  <si>
    <t>一言コメント</t>
  </si>
  <si>
    <t>comment</t>
  </si>
  <si>
    <t>○～○で指定してください。</t>
  </si>
  <si>
    <t>@Max</t>
  </si>
  <si>
    <t>1文字から128文字で指定してください。</t>
  </si>
  <si>
    <t>メソッド</t>
  </si>
  <si>
    <t>入力フォーム</t>
  </si>
  <si>
    <t>入力</t>
  </si>
  <si>
    <t>期待値</t>
  </si>
  <si>
    <t>HTTPステータス</t>
  </si>
  <si>
    <t>HTML名</t>
  </si>
  <si>
    <t>errorCode</t>
  </si>
  <si>
    <t>正常系</t>
  </si>
  <si>
    <t>必須のみ</t>
  </si>
  <si>
    <t>null</t>
  </si>
  <si>
    <t>空文字</t>
  </si>
  <si>
    <t>異常系</t>
  </si>
  <si>
    <t>Size</t>
  </si>
  <si>
    <t>Min</t>
  </si>
  <si>
    <t>Max</t>
  </si>
  <si>
    <t>null値</t>
  </si>
  <si>
    <t>NotNull</t>
  </si>
  <si>
    <t>半角スペース</t>
  </si>
  <si>
    <t>全角スペース</t>
  </si>
  <si>
    <t>タスク名</t>
    <rPh sb="3" eb="4">
      <t>メイ</t>
    </rPh>
    <phoneticPr fontId="1"/>
  </si>
  <si>
    <t>期日</t>
    <rPh sb="0" eb="2">
      <t>キジツ</t>
    </rPh>
    <phoneticPr fontId="1"/>
  </si>
  <si>
    <t>状態コード</t>
    <rPh sb="0" eb="2">
      <t>ジョウタイ</t>
    </rPh>
    <phoneticPr fontId="1"/>
  </si>
  <si>
    <t>状態名称</t>
    <rPh sb="0" eb="2">
      <t>ジョウタイ</t>
    </rPh>
    <rPh sb="2" eb="4">
      <t>メイショウ</t>
    </rPh>
    <phoneticPr fontId="1"/>
  </si>
  <si>
    <t>備考</t>
    <rPh sb="0" eb="2">
      <t>ビコウ</t>
    </rPh>
    <phoneticPr fontId="1"/>
  </si>
  <si>
    <t>taskName</t>
    <phoneticPr fontId="1"/>
  </si>
  <si>
    <t>limitDate</t>
    <phoneticPr fontId="1"/>
  </si>
  <si>
    <t>statusCode</t>
    <phoneticPr fontId="1"/>
  </si>
  <si>
    <t>statusName</t>
    <phoneticPr fontId="1"/>
  </si>
  <si>
    <t>remarks</t>
    <phoneticPr fontId="1"/>
  </si>
  <si>
    <t>レストランID</t>
    <phoneticPr fontId="1"/>
  </si>
  <si>
    <t>ユーザーID</t>
    <phoneticPr fontId="1"/>
  </si>
  <si>
    <t>訪問日</t>
    <phoneticPr fontId="1"/>
  </si>
  <si>
    <t>評価</t>
    <phoneticPr fontId="1"/>
  </si>
  <si>
    <t>一言コメント</t>
    <phoneticPr fontId="1"/>
  </si>
  <si>
    <t>ReviewRegistForm</t>
    <phoneticPr fontId="1"/>
  </si>
  <si>
    <t>期日</t>
  </si>
  <si>
    <t>TaskRegistForm</t>
  </si>
  <si>
    <t>TaskRegistForm</t>
    <phoneticPr fontId="1"/>
  </si>
  <si>
    <t>taskRegistForm</t>
    <phoneticPr fontId="1"/>
  </si>
  <si>
    <t>タスク登録フォーム</t>
    <rPh sb="3" eb="5">
      <t>トウロク</t>
    </rPh>
    <phoneticPr fontId="1"/>
  </si>
  <si>
    <t>タスク名</t>
  </si>
  <si>
    <t>状態コード</t>
  </si>
  <si>
    <t>状態名称</t>
  </si>
  <si>
    <t>備考</t>
  </si>
  <si>
    <t>taskName</t>
  </si>
  <si>
    <t>limitDate</t>
  </si>
  <si>
    <t>statusCode</t>
  </si>
  <si>
    <t>statusName</t>
  </si>
  <si>
    <t>remarks</t>
  </si>
  <si>
    <t>/task-regist</t>
  </si>
  <si>
    <t>/task-regist</t>
    <phoneticPr fontId="1"/>
  </si>
  <si>
    <t>taskRegist</t>
  </si>
  <si>
    <t>taskRegist</t>
    <phoneticPr fontId="1"/>
  </si>
  <si>
    <t xml:space="preserve"> </t>
  </si>
  <si>
    <t>　</t>
  </si>
  <si>
    <t>post</t>
  </si>
  <si>
    <t>■検査項目</t>
  </si>
  <si>
    <t>restauranId</t>
  </si>
  <si>
    <t>最小値</t>
  </si>
  <si>
    <t>aaaa</t>
  </si>
  <si>
    <t>c</t>
  </si>
  <si>
    <t>confirm-regist-review</t>
  </si>
  <si>
    <t>-</t>
  </si>
  <si>
    <t>最大値</t>
  </si>
  <si>
    <t>aaaaaaaaaaaa</t>
  </si>
  <si>
    <t>cccccccccccccccccccccccccccccccccccccccccccccccccccccccccccccccccccccccccccccccccccccccccccccccccccccccccccccccccccccccccccccccc</t>
  </si>
  <si>
    <t>null値(必須のみ)</t>
  </si>
  <si>
    <t>a</t>
  </si>
  <si>
    <t>aaa</t>
  </si>
  <si>
    <t>regist-review</t>
  </si>
  <si>
    <t>aaaaaaaaaaaaaaaaa</t>
  </si>
  <si>
    <t>ccccccccccccccccccccccccccccccccccccccccccccccccccccccccccccccccccccccccccccccccccccccccccccccccccccccccccccccccccccccccccccccccc</t>
  </si>
  <si>
    <t>今日</t>
  </si>
  <si>
    <t>未来日</t>
  </si>
  <si>
    <t>明日</t>
  </si>
  <si>
    <t>Past</t>
  </si>
  <si>
    <t>typeMismatch</t>
  </si>
  <si>
    <t>空白文字</t>
  </si>
  <si>
    <t>全角文字</t>
  </si>
  <si>
    <t>task-regist-view</t>
    <phoneticPr fontId="1"/>
  </si>
  <si>
    <t>task-confirm-regist</t>
    <phoneticPr fontId="1"/>
  </si>
  <si>
    <t>post</t>
    <phoneticPr fontId="1"/>
  </si>
  <si>
    <t>今日</t>
    <rPh sb="0" eb="2">
      <t>キョウ</t>
    </rPh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</si>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</sst>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D966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0" xfId="0" applyFont="1" applyAlignment="1">
      <alignment wrapText="1"/>
    </xf>
    <xf numFmtId="0" fontId="3" fillId="0" borderId="11" xfId="0" applyFont="1" applyBorder="1" applyAlignment="1">
      <alignment wrapText="1"/>
    </xf>
    <xf numFmtId="0" fontId="3" fillId="0" borderId="11" xfId="0" applyFont="1" applyBorder="1" applyAlignment="1">
      <alignment vertical="center"/>
    </xf>
    <xf numFmtId="0" fontId="3" fillId="0" borderId="12" xfId="0" applyFont="1" applyBorder="1" applyAlignment="1">
      <alignment wrapText="1"/>
    </xf>
    <xf numFmtId="0" fontId="3" fillId="5" borderId="0" xfId="0" applyFont="1" applyFill="1" applyAlignment="1">
      <alignment wrapText="1"/>
    </xf>
    <xf numFmtId="0" fontId="3" fillId="5" borderId="12" xfId="0" applyFont="1" applyFill="1" applyBorder="1" applyAlignment="1">
      <alignment wrapText="1"/>
    </xf>
    <xf numFmtId="0" fontId="3" fillId="5" borderId="13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3" fillId="6" borderId="12" xfId="0" applyFont="1" applyFill="1" applyBorder="1" applyAlignment="1">
      <alignment wrapText="1"/>
    </xf>
    <xf numFmtId="0" fontId="3" fillId="6" borderId="0" xfId="0" applyFont="1" applyFill="1" applyAlignment="1">
      <alignment wrapText="1"/>
    </xf>
    <xf numFmtId="0" fontId="3" fillId="5" borderId="11" xfId="0" applyFont="1" applyFill="1" applyBorder="1" applyAlignment="1">
      <alignment wrapText="1"/>
    </xf>
    <xf numFmtId="0" fontId="3" fillId="0" borderId="12" xfId="0" applyFont="1" applyBorder="1" applyAlignment="1">
      <alignment horizontal="right" wrapText="1"/>
    </xf>
    <xf numFmtId="0" fontId="3" fillId="0" borderId="13" xfId="0" applyFont="1" applyBorder="1" applyAlignment="1">
      <alignment horizontal="right" wrapText="1"/>
    </xf>
    <xf numFmtId="0" fontId="3" fillId="0" borderId="13" xfId="0" applyFont="1" applyBorder="1" applyAlignment="1">
      <alignment wrapText="1"/>
    </xf>
    <xf numFmtId="14" fontId="3" fillId="0" borderId="13" xfId="0" applyNumberFormat="1" applyFont="1" applyBorder="1" applyAlignment="1">
      <alignment horizontal="right" wrapText="1"/>
    </xf>
    <xf numFmtId="0" fontId="4" fillId="0" borderId="13" xfId="0" applyFont="1" applyBorder="1" applyAlignment="1">
      <alignment wrapText="1"/>
    </xf>
    <xf numFmtId="0" fontId="4" fillId="0" borderId="13" xfId="0" applyFont="1" applyBorder="1" applyAlignment="1">
      <alignment horizontal="right" wrapText="1"/>
    </xf>
    <xf numFmtId="0" fontId="0" fillId="0" borderId="14" xfId="0" applyBorder="1"/>
    <xf numFmtId="0" fontId="0" fillId="0" borderId="16" xfId="0" applyBorder="1"/>
    <xf numFmtId="14" fontId="0" fillId="0" borderId="8" xfId="0" applyNumberFormat="1" applyBorder="1"/>
    <xf numFmtId="0" fontId="0" fillId="4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3" borderId="1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14" fontId="0" fillId="0" borderId="0" xfId="0" applyNumberFormat="1"/>
    <xf numFmtId="0" fontId="0" fillId="4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AC18"/>
  <sheetViews>
    <sheetView showGridLines="0" workbookViewId="0">
      <selection activeCell="H3" sqref="H3"/>
    </sheetView>
  </sheetViews>
  <sheetFormatPr defaultColWidth="3.375" defaultRowHeight="18.75"/>
  <cols>
    <col min="14" max="14" width="17.5" bestFit="1" customWidth="1"/>
    <col min="15" max="15" width="18.125" bestFit="1" customWidth="1"/>
    <col min="16" max="19" width="6.25" customWidth="1"/>
    <col min="20" max="24" width="6.375" customWidth="1"/>
    <col min="27" max="27" width="17.625" customWidth="1"/>
    <col min="28" max="28" width="17" customWidth="1"/>
    <col min="29" max="29" width="38" bestFit="1" customWidth="1"/>
  </cols>
  <sheetData>
    <row r="2" spans="3:29">
      <c r="C2" s="1" t="s">
        <v>0</v>
      </c>
      <c r="D2" s="2"/>
      <c r="E2" s="2"/>
      <c r="F2" s="2"/>
      <c r="G2" s="3"/>
      <c r="H2" s="4" t="s">
        <v>1</v>
      </c>
      <c r="I2" s="5"/>
      <c r="J2" s="5"/>
      <c r="K2" s="5"/>
      <c r="L2" s="6"/>
    </row>
    <row r="3" spans="3:29">
      <c r="C3" s="1" t="s">
        <v>2</v>
      </c>
      <c r="D3" s="2"/>
      <c r="E3" s="2"/>
      <c r="F3" s="2"/>
      <c r="G3" s="3"/>
      <c r="H3" s="4" t="s">
        <v>126</v>
      </c>
      <c r="I3" s="5"/>
      <c r="J3" s="5"/>
      <c r="K3" s="5"/>
      <c r="L3" s="6"/>
    </row>
    <row r="4" spans="3:29">
      <c r="C4" s="1" t="s">
        <v>4</v>
      </c>
      <c r="D4" s="2"/>
      <c r="E4" s="2"/>
      <c r="F4" s="2"/>
      <c r="G4" s="3"/>
      <c r="H4" s="4" t="s">
        <v>5</v>
      </c>
      <c r="I4" s="5"/>
      <c r="J4" s="5"/>
      <c r="K4" s="5"/>
      <c r="L4" s="6"/>
    </row>
    <row r="9" spans="3:29">
      <c r="C9" s="7" t="s">
        <v>6</v>
      </c>
      <c r="AA9" s="7" t="s">
        <v>7</v>
      </c>
    </row>
    <row r="10" spans="3:29">
      <c r="C10" s="8" t="s">
        <v>8</v>
      </c>
      <c r="D10" s="9"/>
      <c r="E10" s="9"/>
      <c r="F10" s="9"/>
      <c r="G10" s="9"/>
      <c r="H10" s="9"/>
      <c r="I10" s="9"/>
      <c r="J10" s="9"/>
      <c r="K10" s="9"/>
      <c r="L10" s="9"/>
      <c r="M10" s="10"/>
      <c r="N10" s="11" t="s">
        <v>9</v>
      </c>
      <c r="O10" s="11" t="s">
        <v>10</v>
      </c>
      <c r="P10" s="11" t="s">
        <v>11</v>
      </c>
      <c r="Q10" s="11" t="s">
        <v>12</v>
      </c>
      <c r="R10" s="11" t="s">
        <v>13</v>
      </c>
      <c r="S10" s="11" t="s">
        <v>14</v>
      </c>
      <c r="AA10" s="12" t="s">
        <v>8</v>
      </c>
      <c r="AB10" s="12" t="s">
        <v>15</v>
      </c>
      <c r="AC10" s="12" t="s">
        <v>16</v>
      </c>
    </row>
    <row r="11" spans="3:29">
      <c r="C11" s="13" t="s">
        <v>17</v>
      </c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 t="s">
        <v>18</v>
      </c>
      <c r="O11" s="16" t="s">
        <v>79</v>
      </c>
      <c r="P11" s="16"/>
      <c r="Q11" s="16"/>
      <c r="R11" s="16"/>
      <c r="S11" s="16"/>
      <c r="AA11" s="17" t="s">
        <v>20</v>
      </c>
      <c r="AB11" s="17" t="s">
        <v>21</v>
      </c>
      <c r="AC11" s="17" t="s">
        <v>22</v>
      </c>
    </row>
    <row r="12" spans="3:29">
      <c r="C12" s="18"/>
      <c r="D12" s="4" t="s">
        <v>74</v>
      </c>
      <c r="E12" s="5"/>
      <c r="F12" s="5"/>
      <c r="G12" s="5"/>
      <c r="H12" s="5"/>
      <c r="I12" s="5"/>
      <c r="J12" s="5"/>
      <c r="K12" s="5"/>
      <c r="L12" s="5"/>
      <c r="M12" s="6"/>
      <c r="N12" s="17" t="s">
        <v>23</v>
      </c>
      <c r="O12" s="17" t="s">
        <v>24</v>
      </c>
      <c r="P12" s="17" t="s">
        <v>25</v>
      </c>
      <c r="Q12" s="17">
        <v>1</v>
      </c>
      <c r="R12" s="17"/>
      <c r="S12" s="17"/>
      <c r="AA12" s="17" t="s">
        <v>20</v>
      </c>
      <c r="AB12" s="17" t="s">
        <v>26</v>
      </c>
      <c r="AC12" s="17" t="s">
        <v>27</v>
      </c>
    </row>
    <row r="13" spans="3:29">
      <c r="C13" s="18"/>
      <c r="D13" s="4" t="s">
        <v>75</v>
      </c>
      <c r="E13" s="5"/>
      <c r="F13" s="5"/>
      <c r="G13" s="5"/>
      <c r="H13" s="5"/>
      <c r="I13" s="5"/>
      <c r="J13" s="5"/>
      <c r="K13" s="5"/>
      <c r="L13" s="5"/>
      <c r="M13" s="6"/>
      <c r="N13" s="17" t="s">
        <v>29</v>
      </c>
      <c r="O13" s="17" t="s">
        <v>30</v>
      </c>
      <c r="P13" s="17"/>
      <c r="Q13" s="17">
        <v>4</v>
      </c>
      <c r="R13" s="17">
        <v>16</v>
      </c>
      <c r="S13" s="17"/>
      <c r="AA13" s="17" t="s">
        <v>28</v>
      </c>
      <c r="AB13" s="17" t="s">
        <v>31</v>
      </c>
      <c r="AC13" s="17" t="s">
        <v>32</v>
      </c>
    </row>
    <row r="14" spans="3:29">
      <c r="C14" s="18"/>
      <c r="D14" s="4" t="s">
        <v>76</v>
      </c>
      <c r="E14" s="5"/>
      <c r="F14" s="5"/>
      <c r="G14" s="5"/>
      <c r="H14" s="5"/>
      <c r="I14" s="5"/>
      <c r="J14" s="5"/>
      <c r="K14" s="5"/>
      <c r="L14" s="5"/>
      <c r="M14" s="6"/>
      <c r="N14" s="17" t="s">
        <v>34</v>
      </c>
      <c r="O14" s="17" t="s">
        <v>35</v>
      </c>
      <c r="P14" s="17"/>
      <c r="Q14" s="17"/>
      <c r="R14" s="17"/>
      <c r="S14" s="17"/>
      <c r="AA14" s="17" t="s">
        <v>33</v>
      </c>
      <c r="AB14" s="17" t="s">
        <v>36</v>
      </c>
      <c r="AC14" s="17" t="s">
        <v>37</v>
      </c>
    </row>
    <row r="15" spans="3:29">
      <c r="C15" s="18"/>
      <c r="D15" s="4" t="s">
        <v>77</v>
      </c>
      <c r="E15" s="5"/>
      <c r="F15" s="5"/>
      <c r="G15" s="5"/>
      <c r="H15" s="5"/>
      <c r="I15" s="5"/>
      <c r="J15" s="5"/>
      <c r="K15" s="5"/>
      <c r="L15" s="5"/>
      <c r="M15" s="6"/>
      <c r="N15" s="17" t="s">
        <v>39</v>
      </c>
      <c r="O15" s="17" t="s">
        <v>24</v>
      </c>
      <c r="P15" s="17" t="s">
        <v>25</v>
      </c>
      <c r="Q15" s="17">
        <v>1</v>
      </c>
      <c r="R15" s="17">
        <v>5</v>
      </c>
      <c r="S15" s="17"/>
      <c r="AA15" s="17" t="s">
        <v>38</v>
      </c>
      <c r="AB15" s="17" t="s">
        <v>21</v>
      </c>
      <c r="AC15" s="17" t="s">
        <v>22</v>
      </c>
    </row>
    <row r="16" spans="3:29">
      <c r="C16" s="19"/>
      <c r="D16" s="4" t="s">
        <v>78</v>
      </c>
      <c r="E16" s="5"/>
      <c r="F16" s="5"/>
      <c r="G16" s="5"/>
      <c r="H16" s="5"/>
      <c r="I16" s="5"/>
      <c r="J16" s="5"/>
      <c r="K16" s="5"/>
      <c r="L16" s="5"/>
      <c r="M16" s="6"/>
      <c r="N16" s="17" t="s">
        <v>41</v>
      </c>
      <c r="O16" s="17" t="s">
        <v>30</v>
      </c>
      <c r="P16" s="17"/>
      <c r="Q16" s="17">
        <v>1</v>
      </c>
      <c r="R16" s="17">
        <v>128</v>
      </c>
      <c r="S16" s="17"/>
      <c r="AA16" s="17" t="s">
        <v>38</v>
      </c>
      <c r="AB16" s="17" t="s">
        <v>26</v>
      </c>
      <c r="AC16" s="17" t="s">
        <v>42</v>
      </c>
    </row>
    <row r="17" spans="27:29">
      <c r="AA17" s="17" t="s">
        <v>38</v>
      </c>
      <c r="AB17" s="17" t="s">
        <v>43</v>
      </c>
      <c r="AC17" s="17" t="s">
        <v>42</v>
      </c>
    </row>
    <row r="18" spans="27:29">
      <c r="AA18" s="17" t="s">
        <v>40</v>
      </c>
      <c r="AB18" s="17" t="s">
        <v>31</v>
      </c>
      <c r="AC18" s="17" t="s">
        <v>44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3E49-01D3-4B79-9804-2027B73305EA}">
  <sheetPr codeName="Sheet12"/>
  <dimension ref="C2:P18"/>
  <sheetViews>
    <sheetView workbookViewId="0">
      <selection activeCell="D4" sqref="D4"/>
    </sheetView>
  </sheetViews>
  <sheetFormatPr defaultRowHeight="18.75"/>
  <sheetData>
    <row r="2" spans="3:16">
      <c r="C2" t="s">
        <v>0</v>
      </c>
      <c r="D2" t="s">
        <v>1</v>
      </c>
    </row>
    <row r="3" spans="3:16">
      <c r="C3" t="s">
        <v>45</v>
      </c>
      <c r="D3" t="s">
        <v>126</v>
      </c>
    </row>
    <row r="4" spans="3:16">
      <c r="C4" t="s">
        <v>4</v>
      </c>
      <c r="D4" t="s">
        <v>5</v>
      </c>
    </row>
    <row r="5" spans="3:16">
      <c r="C5" t="s">
        <v>46</v>
      </c>
      <c r="D5" t="s">
        <v>19</v>
      </c>
    </row>
    <row r="6" spans="3:16">
      <c r="E6" t="s">
        <v>47</v>
      </c>
      <c r="J6" t="s">
        <v>48</v>
      </c>
    </row>
    <row r="7" spans="3:16">
      <c r="E7" t="s">
        <v>20</v>
      </c>
      <c r="F7" t="s">
        <v>28</v>
      </c>
      <c r="G7" t="s">
        <v>33</v>
      </c>
      <c r="H7" t="s">
        <v>38</v>
      </c>
      <c r="I7" t="s">
        <v>40</v>
      </c>
      <c r="J7" t="s">
        <v>49</v>
      </c>
      <c r="K7" t="s">
        <v>50</v>
      </c>
      <c r="L7" t="s">
        <v>51</v>
      </c>
    </row>
    <row r="8" spans="3:16">
      <c r="E8" t="s">
        <v>23</v>
      </c>
      <c r="F8" t="s">
        <v>29</v>
      </c>
      <c r="G8" t="s">
        <v>34</v>
      </c>
      <c r="H8" t="s">
        <v>39</v>
      </c>
      <c r="I8" t="s">
        <v>41</v>
      </c>
      <c r="L8" t="s">
        <v>23</v>
      </c>
      <c r="M8" t="s">
        <v>29</v>
      </c>
      <c r="N8" t="s">
        <v>34</v>
      </c>
      <c r="O8" t="s">
        <v>39</v>
      </c>
      <c r="P8" t="s">
        <v>41</v>
      </c>
    </row>
    <row r="9" spans="3:16">
      <c r="C9" t="s">
        <v>52</v>
      </c>
      <c r="D9" t="s">
        <v>12</v>
      </c>
      <c r="E9">
        <v>1</v>
      </c>
      <c r="F9" t="str">
        <f>REPT("a", 4)</f>
        <v>aaaa</v>
      </c>
      <c r="G9" s="50">
        <v>45701</v>
      </c>
      <c r="H9">
        <v>1</v>
      </c>
      <c r="I9" t="str">
        <f>REPT("a", 1)</f>
        <v>a</v>
      </c>
    </row>
    <row r="10" spans="3:16">
      <c r="D10" t="s">
        <v>13</v>
      </c>
      <c r="E10">
        <v>1</v>
      </c>
      <c r="F10" t="str">
        <f>REPT("a", 16)</f>
        <v>aaaaaaaaaaaaaaaa</v>
      </c>
      <c r="G10" s="50">
        <v>45701</v>
      </c>
      <c r="H10">
        <v>5</v>
      </c>
      <c r="I10" t="str">
        <f>REPT("a", 128)</f>
        <v>aaaaaaaaaaaaaaaaaaaaaaaaaaaaaaaaaaaaaaaaaaaaaaaaaaaaaaaaaaaaaaaaaaaaaaaaaaaaaaaaaaaaaaaaaaaaaaaaaaaaaaaaaaaaaaaaaaaaaaaaaaaaaaaa</v>
      </c>
    </row>
    <row r="11" spans="3:16">
      <c r="D11" t="s">
        <v>53</v>
      </c>
      <c r="E11">
        <v>1</v>
      </c>
      <c r="F11" t="s">
        <v>54</v>
      </c>
      <c r="G11" t="s">
        <v>54</v>
      </c>
      <c r="H11">
        <v>1</v>
      </c>
      <c r="I11" t="s">
        <v>54</v>
      </c>
    </row>
    <row r="12" spans="3:16">
      <c r="D12" t="s">
        <v>55</v>
      </c>
      <c r="E12">
        <v>1</v>
      </c>
      <c r="F12" s="51" t="str">
        <f>REPT("",4)</f>
        <v/>
      </c>
      <c r="G12" s="50">
        <v>45701</v>
      </c>
      <c r="H12">
        <v>1</v>
      </c>
      <c r="I12" s="51" t="str">
        <f>REPT("",1)</f>
        <v/>
      </c>
    </row>
    <row r="13" spans="3:16">
      <c r="C13" t="s">
        <v>56</v>
      </c>
      <c r="D13" t="s">
        <v>12</v>
      </c>
      <c r="E13">
        <v>0</v>
      </c>
      <c r="F13" t="str">
        <f>REPT("a", 3)</f>
        <v>aaa</v>
      </c>
      <c r="G13" s="50">
        <v>45701</v>
      </c>
      <c r="H13">
        <v>0</v>
      </c>
      <c r="I13" s="51" t="str">
        <f>REPT("a", 0)</f>
        <v/>
      </c>
      <c r="L13" t="s">
        <v>58</v>
      </c>
      <c r="M13" t="s">
        <v>57</v>
      </c>
      <c r="O13" t="s">
        <v>58</v>
      </c>
      <c r="P13" t="s">
        <v>57</v>
      </c>
    </row>
    <row r="14" spans="3:16">
      <c r="D14" t="s">
        <v>13</v>
      </c>
      <c r="E14">
        <v>1</v>
      </c>
      <c r="F14" t="str">
        <f>REPT("a", 17)</f>
        <v>aaaaaaaaaaaaaaaaa</v>
      </c>
      <c r="G14" s="50">
        <v>45701</v>
      </c>
      <c r="H14">
        <v>6</v>
      </c>
      <c r="I14" t="str">
        <f>REPT("a", 129)</f>
        <v>aaaaaaaaaaaaaaaaaaaaaaaaaaaaaaaaaaaaaaaaaaaaaaaaaaaaaaaaaaaaaaaaaaaaaaaaaaaaaaaaaaaaaaaaaaaaaaaaaaaaaaaaaaaaaaaaaaaaaaaaaaaaaaaaa</v>
      </c>
      <c r="M14" t="s">
        <v>57</v>
      </c>
      <c r="O14" t="s">
        <v>59</v>
      </c>
      <c r="P14" t="s">
        <v>57</v>
      </c>
    </row>
    <row r="15" spans="3:16">
      <c r="D15" t="s">
        <v>60</v>
      </c>
      <c r="E15" t="s">
        <v>54</v>
      </c>
      <c r="F15" t="str">
        <f>REPT("z", 4)</f>
        <v>zzzz</v>
      </c>
      <c r="G15" s="50">
        <v>45701</v>
      </c>
      <c r="H15" t="s">
        <v>54</v>
      </c>
      <c r="I15" t="str">
        <f>REPT("z", 1)</f>
        <v>z</v>
      </c>
      <c r="L15" t="s">
        <v>61</v>
      </c>
      <c r="O15" t="s">
        <v>61</v>
      </c>
    </row>
    <row r="16" spans="3:16">
      <c r="D16" t="s">
        <v>55</v>
      </c>
      <c r="E16">
        <v>1</v>
      </c>
      <c r="F16" s="51"/>
      <c r="G16" s="50">
        <v>45701</v>
      </c>
      <c r="H16">
        <v>1</v>
      </c>
      <c r="I16" s="51"/>
    </row>
    <row r="17" spans="4:9">
      <c r="D17" t="s">
        <v>62</v>
      </c>
      <c r="E17">
        <v>1</v>
      </c>
      <c r="F17" t="str">
        <f>REPT(" ",4)</f>
        <v xml:space="preserve">    </v>
      </c>
      <c r="G17" s="50">
        <v>45701</v>
      </c>
      <c r="H17">
        <v>1</v>
      </c>
      <c r="I17" t="str">
        <f>REPT(" ",1)</f>
        <v xml:space="preserve"> </v>
      </c>
    </row>
    <row r="18" spans="4:9">
      <c r="D18" t="s">
        <v>63</v>
      </c>
      <c r="E18">
        <v>1</v>
      </c>
      <c r="F18" t="str">
        <f>REPT("　",4)</f>
        <v>　　　　</v>
      </c>
      <c r="G18" s="50">
        <v>45701</v>
      </c>
      <c r="H18">
        <v>1</v>
      </c>
      <c r="I18" t="str">
        <f>REPT("　",1)</f>
        <v>　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B49C-57FE-49C7-85A0-CFB1A6EAE856}">
  <sheetPr codeName="Sheet2"/>
  <dimension ref="C2:AC19"/>
  <sheetViews>
    <sheetView showGridLines="0" workbookViewId="0">
      <selection activeCell="H4" sqref="H4"/>
    </sheetView>
  </sheetViews>
  <sheetFormatPr defaultColWidth="3.375" defaultRowHeight="18.75"/>
  <cols>
    <col min="14" max="14" width="17.5" bestFit="1" customWidth="1"/>
    <col min="15" max="15" width="18.125" bestFit="1" customWidth="1"/>
    <col min="16" max="19" width="6.25" customWidth="1"/>
    <col min="20" max="24" width="6.375" customWidth="1"/>
    <col min="27" max="27" width="17.625" customWidth="1"/>
    <col min="28" max="28" width="17" customWidth="1"/>
    <col min="29" max="29" width="38" bestFit="1" customWidth="1"/>
  </cols>
  <sheetData>
    <row r="2" spans="3:29">
      <c r="C2" s="1" t="s">
        <v>0</v>
      </c>
      <c r="D2" s="2"/>
      <c r="E2" s="2"/>
      <c r="F2" s="2"/>
      <c r="G2" s="3"/>
      <c r="H2" s="4" t="s">
        <v>95</v>
      </c>
      <c r="I2" s="5"/>
      <c r="J2" s="5"/>
      <c r="K2" s="5"/>
      <c r="L2" s="6"/>
    </row>
    <row r="3" spans="3:29">
      <c r="C3" s="1" t="s">
        <v>2</v>
      </c>
      <c r="D3" s="2"/>
      <c r="E3" s="2"/>
      <c r="F3" s="2"/>
      <c r="G3" s="3"/>
      <c r="H3" s="4" t="s">
        <v>126</v>
      </c>
      <c r="I3" s="5"/>
      <c r="J3" s="5"/>
      <c r="K3" s="5"/>
      <c r="L3" s="6"/>
    </row>
    <row r="4" spans="3:29">
      <c r="C4" s="1" t="s">
        <v>4</v>
      </c>
      <c r="D4" s="2"/>
      <c r="E4" s="2"/>
      <c r="F4" s="2"/>
      <c r="G4" s="3"/>
      <c r="H4" s="4" t="s">
        <v>97</v>
      </c>
      <c r="I4" s="5"/>
      <c r="J4" s="5"/>
      <c r="K4" s="5"/>
      <c r="L4" s="6"/>
    </row>
    <row r="9" spans="3:29">
      <c r="C9" s="7" t="s">
        <v>6</v>
      </c>
      <c r="AA9" s="7" t="s">
        <v>7</v>
      </c>
    </row>
    <row r="10" spans="3:29">
      <c r="C10" s="8" t="s">
        <v>8</v>
      </c>
      <c r="D10" s="9"/>
      <c r="E10" s="9"/>
      <c r="F10" s="9"/>
      <c r="G10" s="9"/>
      <c r="H10" s="9"/>
      <c r="I10" s="9"/>
      <c r="J10" s="9"/>
      <c r="K10" s="9"/>
      <c r="L10" s="9"/>
      <c r="M10" s="10"/>
      <c r="N10" s="11" t="s">
        <v>9</v>
      </c>
      <c r="O10" s="11" t="s">
        <v>10</v>
      </c>
      <c r="P10" s="11" t="s">
        <v>11</v>
      </c>
      <c r="Q10" s="11" t="s">
        <v>12</v>
      </c>
      <c r="R10" s="11" t="s">
        <v>13</v>
      </c>
      <c r="S10" s="11" t="s">
        <v>14</v>
      </c>
      <c r="AA10" s="12" t="s">
        <v>8</v>
      </c>
      <c r="AB10" s="12" t="s">
        <v>15</v>
      </c>
      <c r="AC10" s="12" t="s">
        <v>16</v>
      </c>
    </row>
    <row r="11" spans="3:29">
      <c r="C11" s="13" t="s">
        <v>84</v>
      </c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 t="s">
        <v>83</v>
      </c>
      <c r="O11" s="16" t="s">
        <v>82</v>
      </c>
      <c r="P11" s="16"/>
      <c r="Q11" s="16"/>
      <c r="R11" s="16"/>
      <c r="S11" s="16"/>
      <c r="AA11" s="17" t="s">
        <v>20</v>
      </c>
      <c r="AB11" s="17" t="s">
        <v>21</v>
      </c>
      <c r="AC11" s="17" t="s">
        <v>22</v>
      </c>
    </row>
    <row r="12" spans="3:29">
      <c r="C12" s="18"/>
      <c r="D12" s="4" t="s">
        <v>64</v>
      </c>
      <c r="E12" s="5"/>
      <c r="F12" s="5"/>
      <c r="G12" s="5"/>
      <c r="H12" s="5"/>
      <c r="I12" s="5"/>
      <c r="J12" s="5"/>
      <c r="K12" s="5"/>
      <c r="L12" s="5"/>
      <c r="M12" s="6"/>
      <c r="N12" s="17" t="s">
        <v>69</v>
      </c>
      <c r="O12" s="17" t="s">
        <v>30</v>
      </c>
      <c r="P12" s="17"/>
      <c r="Q12" s="17">
        <v>1</v>
      </c>
      <c r="R12" s="17">
        <v>32</v>
      </c>
      <c r="S12" s="17"/>
      <c r="AA12" s="17" t="s">
        <v>20</v>
      </c>
      <c r="AB12" s="17" t="s">
        <v>26</v>
      </c>
      <c r="AC12" s="17" t="s">
        <v>27</v>
      </c>
    </row>
    <row r="13" spans="3:29">
      <c r="C13" s="18"/>
      <c r="D13" s="4" t="s">
        <v>65</v>
      </c>
      <c r="E13" s="5"/>
      <c r="F13" s="5"/>
      <c r="G13" s="5"/>
      <c r="H13" s="5"/>
      <c r="I13" s="5"/>
      <c r="J13" s="5"/>
      <c r="K13" s="5"/>
      <c r="L13" s="5"/>
      <c r="M13" s="6"/>
      <c r="N13" s="17" t="s">
        <v>70</v>
      </c>
      <c r="O13" s="17" t="s">
        <v>35</v>
      </c>
      <c r="P13" s="17"/>
      <c r="Q13" s="17"/>
      <c r="R13" s="17"/>
      <c r="S13" s="17"/>
      <c r="AA13" s="17" t="s">
        <v>28</v>
      </c>
      <c r="AB13" s="17" t="s">
        <v>31</v>
      </c>
      <c r="AC13" s="17" t="s">
        <v>32</v>
      </c>
    </row>
    <row r="14" spans="3:29">
      <c r="C14" s="18"/>
      <c r="D14" s="4" t="s">
        <v>66</v>
      </c>
      <c r="E14" s="5"/>
      <c r="F14" s="5"/>
      <c r="G14" s="5"/>
      <c r="H14" s="5"/>
      <c r="I14" s="5"/>
      <c r="J14" s="5"/>
      <c r="K14" s="5"/>
      <c r="L14" s="5"/>
      <c r="M14" s="6"/>
      <c r="N14" s="17" t="s">
        <v>71</v>
      </c>
      <c r="O14" s="17" t="s">
        <v>30</v>
      </c>
      <c r="P14" s="17"/>
      <c r="Q14" s="17">
        <v>2</v>
      </c>
      <c r="R14" s="17">
        <v>2</v>
      </c>
      <c r="S14" s="17"/>
      <c r="AA14" s="17" t="s">
        <v>33</v>
      </c>
      <c r="AB14" s="17" t="s">
        <v>36</v>
      </c>
      <c r="AC14" s="17" t="s">
        <v>37</v>
      </c>
    </row>
    <row r="15" spans="3:29">
      <c r="C15" s="18"/>
      <c r="D15" s="4" t="s">
        <v>67</v>
      </c>
      <c r="E15" s="5"/>
      <c r="F15" s="5"/>
      <c r="G15" s="5"/>
      <c r="H15" s="5"/>
      <c r="I15" s="5"/>
      <c r="J15" s="5"/>
      <c r="K15" s="5"/>
      <c r="L15" s="5"/>
      <c r="M15" s="6"/>
      <c r="N15" s="17" t="s">
        <v>72</v>
      </c>
      <c r="O15" s="17" t="s">
        <v>30</v>
      </c>
      <c r="P15" s="17"/>
      <c r="Q15" s="17"/>
      <c r="R15" s="17"/>
      <c r="S15" s="17"/>
      <c r="AA15" s="17" t="s">
        <v>38</v>
      </c>
      <c r="AB15" s="17" t="s">
        <v>21</v>
      </c>
      <c r="AC15" s="17" t="s">
        <v>22</v>
      </c>
    </row>
    <row r="16" spans="3:29">
      <c r="C16" s="19"/>
      <c r="D16" s="4" t="s">
        <v>68</v>
      </c>
      <c r="E16" s="5"/>
      <c r="F16" s="5"/>
      <c r="G16" s="5"/>
      <c r="H16" s="5"/>
      <c r="I16" s="5"/>
      <c r="J16" s="5"/>
      <c r="K16" s="5"/>
      <c r="L16" s="5"/>
      <c r="M16" s="6"/>
      <c r="N16" s="17" t="s">
        <v>73</v>
      </c>
      <c r="O16" s="17" t="s">
        <v>30</v>
      </c>
      <c r="P16" s="17"/>
      <c r="Q16" s="17"/>
      <c r="R16" s="17">
        <v>64</v>
      </c>
      <c r="S16" s="17"/>
      <c r="AA16" s="17" t="s">
        <v>38</v>
      </c>
      <c r="AB16" s="17" t="s">
        <v>26</v>
      </c>
      <c r="AC16" s="17" t="s">
        <v>42</v>
      </c>
    </row>
    <row r="17" spans="27:29">
      <c r="AA17" s="17" t="s">
        <v>38</v>
      </c>
      <c r="AB17" s="17" t="s">
        <v>43</v>
      </c>
      <c r="AC17" s="17" t="s">
        <v>42</v>
      </c>
    </row>
    <row r="18" spans="27:29">
      <c r="AA18" s="17" t="s">
        <v>40</v>
      </c>
      <c r="AB18" s="17" t="s">
        <v>31</v>
      </c>
      <c r="AC18" s="17" t="s">
        <v>44</v>
      </c>
    </row>
    <row r="19" spans="27:29">
      <c r="AA19" s="17" t="s">
        <v>65</v>
      </c>
      <c r="AB19" s="17" t="s">
        <v>36</v>
      </c>
      <c r="AC19" s="17" t="s">
        <v>37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08BA2-9090-4883-8338-031F206496FB}">
  <sheetPr codeName="Sheet13"/>
  <dimension ref="B2:P17"/>
  <sheetViews>
    <sheetView tabSelected="1" workbookViewId="0">
      <selection activeCell="E9" sqref="E9:I17"/>
    </sheetView>
  </sheetViews>
  <sheetFormatPr defaultRowHeight="18.75"/>
  <sheetData>
    <row r="2" spans="2:16">
      <c r="C2" t="s">
        <v>0</v>
      </c>
      <c r="D2" t="s">
        <v>94</v>
      </c>
    </row>
    <row r="3" spans="2:16">
      <c r="C3" t="s">
        <v>45</v>
      </c>
      <c r="D3" t="s">
        <v>126</v>
      </c>
    </row>
    <row r="4" spans="2:16">
      <c r="C4" t="s">
        <v>4</v>
      </c>
      <c r="D4" t="s">
        <v>96</v>
      </c>
    </row>
    <row r="5" spans="2:16">
      <c r="C5" t="s">
        <v>46</v>
      </c>
      <c r="D5" t="s">
        <v>81</v>
      </c>
    </row>
    <row r="6" spans="2:16">
      <c r="E6" t="s">
        <v>47</v>
      </c>
      <c r="J6" t="s">
        <v>48</v>
      </c>
    </row>
    <row r="7" spans="2:16">
      <c r="E7" t="s">
        <v>85</v>
      </c>
      <c r="F7" t="s">
        <v>80</v>
      </c>
      <c r="G7" t="s">
        <v>86</v>
      </c>
      <c r="H7" t="s">
        <v>87</v>
      </c>
      <c r="I7" t="s">
        <v>88</v>
      </c>
      <c r="J7" t="s">
        <v>49</v>
      </c>
      <c r="K7" t="s">
        <v>50</v>
      </c>
      <c r="L7" t="s">
        <v>51</v>
      </c>
    </row>
    <row r="8" spans="2:16">
      <c r="E8" t="s">
        <v>89</v>
      </c>
      <c r="F8" t="s">
        <v>90</v>
      </c>
      <c r="G8" t="s">
        <v>91</v>
      </c>
      <c r="H8" t="s">
        <v>92</v>
      </c>
      <c r="I8" t="s">
        <v>93</v>
      </c>
      <c r="L8" t="s">
        <v>89</v>
      </c>
      <c r="M8" t="s">
        <v>90</v>
      </c>
      <c r="N8" t="s">
        <v>91</v>
      </c>
      <c r="O8" t="s">
        <v>92</v>
      </c>
      <c r="P8" t="s">
        <v>93</v>
      </c>
    </row>
    <row r="9" spans="2:16">
      <c r="B9">
        <v>1</v>
      </c>
      <c r="C9" t="s">
        <v>52</v>
      </c>
      <c r="D9" t="s">
        <v>12</v>
      </c>
      <c r="E9" t="str">
        <f>REPT("a", 1)</f>
        <v>a</v>
      </c>
      <c r="F9" s="50">
        <v>45701</v>
      </c>
      <c r="G9" t="str">
        <f>REPT("a", 2)</f>
        <v>aa</v>
      </c>
      <c r="H9" t="str">
        <f>REPT("z", 2)</f>
        <v>zz</v>
      </c>
      <c r="I9" t="str">
        <f>REPT("z", 64)</f>
        <v>zzzzzzzzzzzzzzzzzzzzzzzzzzzzzzzzzzzzzzzzzzzzzzzzzzzzzzzzzzzzzzzz</v>
      </c>
      <c r="J9">
        <v>200</v>
      </c>
      <c r="K9" t="s">
        <v>125</v>
      </c>
    </row>
    <row r="10" spans="2:16">
      <c r="B10">
        <v>2</v>
      </c>
      <c r="D10" t="s">
        <v>13</v>
      </c>
      <c r="E10" t="str">
        <f>REPT("a", 32)</f>
        <v>aaaaaaaaaaaaaaaaaaaaaaaaaaaaaaaa</v>
      </c>
      <c r="F10" s="50" t="s">
        <v>127</v>
      </c>
      <c r="G10" t="str">
        <f>REPT("a", 2)</f>
        <v>aa</v>
      </c>
      <c r="H10" t="str">
        <f>REPT("z", 2)</f>
        <v>zz</v>
      </c>
      <c r="I10" t="str">
        <f>REPT("z", 64)</f>
        <v>zzzzzzzzzzzzzzzzzzzzzzzzzzzzzzzzzzzzzzzzzzzzzzzzzzzzzzzzzzzzzzzz</v>
      </c>
      <c r="J10">
        <v>200</v>
      </c>
      <c r="K10" t="s">
        <v>125</v>
      </c>
    </row>
    <row r="11" spans="2:16">
      <c r="B11">
        <v>3</v>
      </c>
      <c r="D11" t="s">
        <v>53</v>
      </c>
      <c r="E11" t="s">
        <v>54</v>
      </c>
      <c r="F11" t="s">
        <v>54</v>
      </c>
      <c r="G11" t="s">
        <v>54</v>
      </c>
      <c r="H11" t="s">
        <v>54</v>
      </c>
      <c r="I11" t="s">
        <v>54</v>
      </c>
      <c r="J11">
        <v>200</v>
      </c>
      <c r="K11" t="s">
        <v>125</v>
      </c>
    </row>
    <row r="12" spans="2:16">
      <c r="B12">
        <v>4</v>
      </c>
      <c r="D12" t="s">
        <v>55</v>
      </c>
      <c r="E12" s="51" t="s">
        <v>128</v>
      </c>
      <c r="F12" s="50">
        <v>45701</v>
      </c>
      <c r="G12" s="51">
        <v>11</v>
      </c>
      <c r="H12" s="51"/>
      <c r="I12" s="51" t="str">
        <f>REPT("",64)</f>
        <v/>
      </c>
      <c r="J12">
        <v>200</v>
      </c>
      <c r="K12" t="s">
        <v>125</v>
      </c>
    </row>
    <row r="13" spans="2:16">
      <c r="B13">
        <v>5</v>
      </c>
      <c r="D13" t="s">
        <v>60</v>
      </c>
      <c r="E13" t="str">
        <f>REPT("z", 1)</f>
        <v>z</v>
      </c>
      <c r="F13" s="50">
        <v>45701</v>
      </c>
      <c r="G13" t="str">
        <f>REPT("z", 2)</f>
        <v>zz</v>
      </c>
      <c r="H13" t="str">
        <f>REPT("z", 2)</f>
        <v>zz</v>
      </c>
      <c r="I13" t="str">
        <f>REPT("z", 64)</f>
        <v>zzzzzzzzzzzzzzzzzzzzzzzzzzzzzzzzzzzzzzzzzzzzzzzzzzzzzzzzzzzzzzzz</v>
      </c>
      <c r="J13">
        <v>200</v>
      </c>
      <c r="K13" t="s">
        <v>125</v>
      </c>
    </row>
    <row r="14" spans="2:16">
      <c r="B14">
        <v>6</v>
      </c>
      <c r="D14" t="s">
        <v>62</v>
      </c>
      <c r="E14" t="str">
        <f>REPT(" ",1)</f>
        <v xml:space="preserve"> </v>
      </c>
      <c r="F14" s="50">
        <v>45701</v>
      </c>
      <c r="G14" t="str">
        <f>REPT(" ",2)</f>
        <v xml:space="preserve">  </v>
      </c>
      <c r="H14" t="s">
        <v>98</v>
      </c>
      <c r="I14" t="str">
        <f>REPT(" ",64)</f>
        <v xml:space="preserve">                                                                </v>
      </c>
      <c r="J14">
        <v>200</v>
      </c>
      <c r="K14" t="s">
        <v>125</v>
      </c>
    </row>
    <row r="15" spans="2:16">
      <c r="B15">
        <v>7</v>
      </c>
      <c r="D15" t="s">
        <v>63</v>
      </c>
      <c r="E15" t="str">
        <f>REPT("　",1)</f>
        <v>　</v>
      </c>
      <c r="F15" s="50">
        <v>45701</v>
      </c>
      <c r="G15" t="str">
        <f>REPT("　",2)</f>
        <v>　　</v>
      </c>
      <c r="H15" t="s">
        <v>99</v>
      </c>
      <c r="I15" t="str">
        <f>REPT("　",64)</f>
        <v>　　　　　　　　　　　　　　　　　　　　　　　　　　　　　　　　　　　　　　　　　　　　　　　　　　　　　　　　　　　　　　　　</v>
      </c>
      <c r="J15">
        <v>200</v>
      </c>
      <c r="K15" t="s">
        <v>125</v>
      </c>
    </row>
    <row r="16" spans="2:16">
      <c r="B16">
        <v>8</v>
      </c>
      <c r="C16" t="s">
        <v>56</v>
      </c>
      <c r="D16" t="s">
        <v>12</v>
      </c>
      <c r="E16" s="51" t="str">
        <f>REPT("a", 0)</f>
        <v/>
      </c>
      <c r="F16" s="50">
        <v>45701</v>
      </c>
      <c r="G16" t="str">
        <f>REPT("a", 1)</f>
        <v>a</v>
      </c>
      <c r="H16" t="str">
        <f>REPT("z", 2)</f>
        <v>zz</v>
      </c>
      <c r="I16" t="str">
        <f>REPT("z", 64)</f>
        <v>zzzzzzzzzzzzzzzzzzzzzzzzzzzzzzzzzzzzzzzzzzzzzzzzzzzzzzzzzzzzzzzz</v>
      </c>
      <c r="J16">
        <v>200</v>
      </c>
      <c r="K16" t="s">
        <v>124</v>
      </c>
      <c r="L16" t="s">
        <v>57</v>
      </c>
      <c r="N16" t="s">
        <v>57</v>
      </c>
    </row>
    <row r="17" spans="2:14">
      <c r="B17">
        <v>9</v>
      </c>
      <c r="D17" t="s">
        <v>13</v>
      </c>
      <c r="E17" t="str">
        <f>REPT("a", 33)</f>
        <v>aaaaaaaaaaaaaaaaaaaaaaaaaaaaaaaaa</v>
      </c>
      <c r="F17" s="50">
        <v>45701</v>
      </c>
      <c r="G17" t="str">
        <f>REPT("a", 3)</f>
        <v>aaa</v>
      </c>
      <c r="H17" t="str">
        <f>REPT("z", 2)</f>
        <v>zz</v>
      </c>
      <c r="I17" t="str">
        <f>REPT("z", 65)</f>
        <v>zzzzzzzzzzzzzzzzzzzzzzzzzzzzzzzzzzzzzzzzzzzzzzzzzzzzzzzzzzzzzzzzz</v>
      </c>
      <c r="J17">
        <v>200</v>
      </c>
      <c r="K17" t="s">
        <v>124</v>
      </c>
      <c r="L17" t="s">
        <v>57</v>
      </c>
      <c r="N17" t="s">
        <v>57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7FA52-7A0C-4DC4-8D6D-8B5376AE6D47}">
  <sheetPr codeName="Sheet9"/>
  <dimension ref="A1"/>
  <sheetViews>
    <sheetView workbookViewId="0">
      <selection activeCell="E27" sqref="E27"/>
    </sheetView>
  </sheetViews>
  <sheetFormatPr defaultRowHeight="18.7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ED4EA-2C41-488D-9F18-9FBDF28264A8}">
  <sheetPr codeName="Sheet4"/>
  <dimension ref="B2:P18"/>
  <sheetViews>
    <sheetView showGridLines="0" workbookViewId="0">
      <selection activeCell="E9" sqref="E9:I18"/>
    </sheetView>
  </sheetViews>
  <sheetFormatPr defaultRowHeight="18.75"/>
  <cols>
    <col min="1" max="2" width="3.25" customWidth="1"/>
    <col min="5" max="9" width="13.375" customWidth="1"/>
    <col min="10" max="10" width="15.75" customWidth="1"/>
    <col min="11" max="11" width="22.375" customWidth="1"/>
  </cols>
  <sheetData>
    <row r="2" spans="2:16">
      <c r="C2" t="s">
        <v>0</v>
      </c>
      <c r="D2" t="s">
        <v>1</v>
      </c>
    </row>
    <row r="3" spans="2:16">
      <c r="C3" t="s">
        <v>45</v>
      </c>
      <c r="D3" t="s">
        <v>3</v>
      </c>
    </row>
    <row r="4" spans="2:16">
      <c r="C4" t="s">
        <v>4</v>
      </c>
      <c r="D4" t="s">
        <v>5</v>
      </c>
    </row>
    <row r="5" spans="2:16">
      <c r="C5" t="s">
        <v>46</v>
      </c>
      <c r="D5" t="s">
        <v>19</v>
      </c>
    </row>
    <row r="6" spans="2:16">
      <c r="C6" s="13"/>
      <c r="D6" s="15"/>
      <c r="E6" s="42" t="s">
        <v>47</v>
      </c>
      <c r="F6" s="43"/>
      <c r="G6" s="43"/>
      <c r="H6" s="43"/>
      <c r="I6" s="44"/>
      <c r="J6" s="8" t="s">
        <v>48</v>
      </c>
      <c r="K6" s="9"/>
      <c r="L6" s="9"/>
      <c r="M6" s="9"/>
      <c r="N6" s="9"/>
      <c r="O6" s="9"/>
      <c r="P6" s="10"/>
    </row>
    <row r="7" spans="2:16">
      <c r="C7" s="18"/>
      <c r="D7" s="38"/>
      <c r="E7" s="45" t="s">
        <v>20</v>
      </c>
      <c r="F7" s="45" t="s">
        <v>28</v>
      </c>
      <c r="G7" s="45" t="s">
        <v>33</v>
      </c>
      <c r="H7" s="45" t="s">
        <v>38</v>
      </c>
      <c r="I7" s="45" t="s">
        <v>40</v>
      </c>
      <c r="J7" s="11" t="s">
        <v>49</v>
      </c>
      <c r="K7" s="9" t="s">
        <v>50</v>
      </c>
      <c r="L7" s="8" t="s">
        <v>51</v>
      </c>
      <c r="M7" s="9"/>
      <c r="N7" s="9"/>
      <c r="O7" s="9"/>
      <c r="P7" s="10"/>
    </row>
    <row r="8" spans="2:16">
      <c r="C8" s="19"/>
      <c r="D8" s="39"/>
      <c r="E8" s="45" t="s">
        <v>23</v>
      </c>
      <c r="F8" s="45" t="s">
        <v>29</v>
      </c>
      <c r="G8" s="45" t="s">
        <v>34</v>
      </c>
      <c r="H8" s="45" t="s">
        <v>39</v>
      </c>
      <c r="I8" s="45" t="s">
        <v>41</v>
      </c>
      <c r="J8" s="49"/>
      <c r="K8" s="47"/>
      <c r="L8" s="46" t="s">
        <v>23</v>
      </c>
      <c r="M8" s="47" t="s">
        <v>29</v>
      </c>
      <c r="N8" s="47" t="s">
        <v>34</v>
      </c>
      <c r="O8" s="47" t="s">
        <v>39</v>
      </c>
      <c r="P8" s="48" t="s">
        <v>41</v>
      </c>
    </row>
    <row r="9" spans="2:16">
      <c r="B9">
        <v>1</v>
      </c>
      <c r="C9" s="13" t="s">
        <v>52</v>
      </c>
      <c r="D9" s="17" t="s">
        <v>12</v>
      </c>
      <c r="E9" s="17">
        <v>1</v>
      </c>
      <c r="F9" s="17" t="str">
        <f>REPT("a", 4)</f>
        <v>aaaa</v>
      </c>
      <c r="G9" s="40">
        <v>45701</v>
      </c>
      <c r="H9" s="17">
        <v>1</v>
      </c>
      <c r="I9" s="17" t="str">
        <f>REPT("a", 1)</f>
        <v>a</v>
      </c>
      <c r="J9" s="17">
        <v>200</v>
      </c>
      <c r="K9" s="17" t="s">
        <v>106</v>
      </c>
      <c r="L9" s="17"/>
      <c r="M9" s="17"/>
      <c r="N9" s="17"/>
      <c r="O9" s="17"/>
      <c r="P9" s="17"/>
    </row>
    <row r="10" spans="2:16">
      <c r="B10">
        <v>2</v>
      </c>
      <c r="C10" s="18"/>
      <c r="D10" s="17" t="s">
        <v>13</v>
      </c>
      <c r="E10" s="17">
        <v>1</v>
      </c>
      <c r="F10" s="17" t="str">
        <f>REPT("a", 16)</f>
        <v>aaaaaaaaaaaaaaaa</v>
      </c>
      <c r="G10" s="40">
        <v>45701</v>
      </c>
      <c r="H10" s="17">
        <v>5</v>
      </c>
      <c r="I10" s="17" t="str">
        <f>REPT("a", 128)</f>
        <v>aaaaaaaaaaaaaaaaaaaaaaaaaaaaaaaaaaaaaaaaaaaaaaaaaaaaaaaaaaaaaaaaaaaaaaaaaaaaaaaaaaaaaaaaaaaaaaaaaaaaaaaaaaaaaaaaaaaaaaaaaaaaaaaa</v>
      </c>
      <c r="J10" s="17">
        <v>200</v>
      </c>
      <c r="K10" s="17" t="s">
        <v>106</v>
      </c>
      <c r="L10" s="17"/>
      <c r="M10" s="17"/>
      <c r="N10" s="17"/>
      <c r="O10" s="17"/>
      <c r="P10" s="17"/>
    </row>
    <row r="11" spans="2:16">
      <c r="B11">
        <v>2</v>
      </c>
      <c r="C11" s="18"/>
      <c r="D11" s="17" t="s">
        <v>53</v>
      </c>
      <c r="E11" s="17">
        <v>1</v>
      </c>
      <c r="F11" s="17" t="s">
        <v>54</v>
      </c>
      <c r="G11" s="17" t="s">
        <v>54</v>
      </c>
      <c r="H11" s="17">
        <v>1</v>
      </c>
      <c r="I11" s="17" t="s">
        <v>54</v>
      </c>
      <c r="J11" s="17">
        <v>200</v>
      </c>
      <c r="K11" s="17" t="s">
        <v>106</v>
      </c>
      <c r="L11" s="17"/>
      <c r="M11" s="17"/>
      <c r="N11" s="17"/>
      <c r="O11" s="17"/>
      <c r="P11" s="17"/>
    </row>
    <row r="12" spans="2:16">
      <c r="B12">
        <v>3</v>
      </c>
      <c r="C12" s="19"/>
      <c r="D12" s="17" t="s">
        <v>55</v>
      </c>
      <c r="E12" s="17">
        <v>1</v>
      </c>
      <c r="F12" s="41" t="str">
        <f>REPT("",4)</f>
        <v/>
      </c>
      <c r="G12" s="40">
        <v>45701</v>
      </c>
      <c r="H12" s="17">
        <v>1</v>
      </c>
      <c r="I12" s="41" t="str">
        <f>REPT("",1)</f>
        <v/>
      </c>
      <c r="J12" s="17">
        <v>200</v>
      </c>
      <c r="K12" s="17" t="s">
        <v>106</v>
      </c>
      <c r="L12" s="17"/>
      <c r="M12" s="17"/>
      <c r="N12" s="17"/>
      <c r="O12" s="17"/>
      <c r="P12" s="17"/>
    </row>
    <row r="13" spans="2:16">
      <c r="B13">
        <v>4</v>
      </c>
      <c r="C13" s="13" t="s">
        <v>56</v>
      </c>
      <c r="D13" s="17" t="s">
        <v>12</v>
      </c>
      <c r="E13" s="17">
        <v>0</v>
      </c>
      <c r="F13" s="17" t="str">
        <f>REPT("a", 3)</f>
        <v>aaa</v>
      </c>
      <c r="G13" s="40">
        <v>45701</v>
      </c>
      <c r="H13" s="17">
        <v>0</v>
      </c>
      <c r="I13" s="41" t="str">
        <f>REPT("a", 0)</f>
        <v/>
      </c>
      <c r="J13" s="17">
        <v>200</v>
      </c>
      <c r="K13" s="17" t="s">
        <v>114</v>
      </c>
      <c r="L13" s="17" t="s">
        <v>58</v>
      </c>
      <c r="M13" s="17" t="s">
        <v>57</v>
      </c>
      <c r="N13" s="17"/>
      <c r="O13" s="17" t="s">
        <v>58</v>
      </c>
      <c r="P13" s="17" t="s">
        <v>57</v>
      </c>
    </row>
    <row r="14" spans="2:16">
      <c r="B14">
        <v>5</v>
      </c>
      <c r="C14" s="18"/>
      <c r="D14" s="17" t="s">
        <v>13</v>
      </c>
      <c r="E14" s="17">
        <v>1</v>
      </c>
      <c r="F14" s="17" t="str">
        <f>REPT("a", 17)</f>
        <v>aaaaaaaaaaaaaaaaa</v>
      </c>
      <c r="G14" s="40">
        <v>45701</v>
      </c>
      <c r="H14" s="17">
        <v>6</v>
      </c>
      <c r="I14" s="17" t="str">
        <f>REPT("a", 129)</f>
        <v>aaaaaaaaaaaaaaaaaaaaaaaaaaaaaaaaaaaaaaaaaaaaaaaaaaaaaaaaaaaaaaaaaaaaaaaaaaaaaaaaaaaaaaaaaaaaaaaaaaaaaaaaaaaaaaaaaaaaaaaaaaaaaaaaa</v>
      </c>
      <c r="J14" s="17">
        <v>200</v>
      </c>
      <c r="K14" s="17" t="s">
        <v>114</v>
      </c>
      <c r="L14" s="17"/>
      <c r="M14" s="17" t="s">
        <v>57</v>
      </c>
      <c r="N14" s="17"/>
      <c r="O14" s="17" t="s">
        <v>59</v>
      </c>
      <c r="P14" s="17" t="s">
        <v>57</v>
      </c>
    </row>
    <row r="15" spans="2:16">
      <c r="B15">
        <v>7</v>
      </c>
      <c r="C15" s="18"/>
      <c r="D15" s="17" t="s">
        <v>60</v>
      </c>
      <c r="E15" s="17" t="s">
        <v>54</v>
      </c>
      <c r="F15" s="17" t="str">
        <f>REPT("z", 4)</f>
        <v>zzzz</v>
      </c>
      <c r="G15" s="40">
        <v>45701</v>
      </c>
      <c r="H15" s="17" t="s">
        <v>54</v>
      </c>
      <c r="I15" s="17" t="str">
        <f>REPT("z", 1)</f>
        <v>z</v>
      </c>
      <c r="J15" s="17">
        <v>200</v>
      </c>
      <c r="K15" s="17" t="s">
        <v>114</v>
      </c>
      <c r="L15" s="17" t="s">
        <v>61</v>
      </c>
      <c r="M15" s="17"/>
      <c r="N15" s="17"/>
      <c r="O15" s="17" t="s">
        <v>61</v>
      </c>
      <c r="P15" s="17"/>
    </row>
    <row r="16" spans="2:16">
      <c r="B16">
        <v>8</v>
      </c>
      <c r="C16" s="18"/>
      <c r="D16" s="17" t="s">
        <v>55</v>
      </c>
      <c r="E16" s="17">
        <v>1</v>
      </c>
      <c r="F16" s="41"/>
      <c r="G16" s="40">
        <v>45701</v>
      </c>
      <c r="H16" s="17">
        <v>1</v>
      </c>
      <c r="I16" s="41"/>
      <c r="J16" s="17">
        <v>200</v>
      </c>
      <c r="K16" s="17" t="s">
        <v>114</v>
      </c>
      <c r="L16" s="17"/>
      <c r="M16" s="17"/>
      <c r="N16" s="17"/>
      <c r="O16" s="17"/>
      <c r="P16" s="17"/>
    </row>
    <row r="17" spans="2:16">
      <c r="B17">
        <v>9</v>
      </c>
      <c r="C17" s="18"/>
      <c r="D17" s="17" t="s">
        <v>62</v>
      </c>
      <c r="E17" s="17">
        <v>1</v>
      </c>
      <c r="F17" s="17" t="str">
        <f>REPT(" ",4)</f>
        <v xml:space="preserve">    </v>
      </c>
      <c r="G17" s="40">
        <v>45701</v>
      </c>
      <c r="H17" s="17">
        <v>1</v>
      </c>
      <c r="I17" s="17" t="str">
        <f>REPT(" ",1)</f>
        <v xml:space="preserve"> </v>
      </c>
      <c r="J17" s="17">
        <v>200</v>
      </c>
      <c r="K17" s="17" t="s">
        <v>114</v>
      </c>
      <c r="L17" s="17"/>
      <c r="M17" s="17"/>
      <c r="N17" s="17"/>
      <c r="O17" s="17"/>
      <c r="P17" s="17"/>
    </row>
    <row r="18" spans="2:16">
      <c r="B18">
        <v>10</v>
      </c>
      <c r="C18" s="19"/>
      <c r="D18" s="17" t="s">
        <v>63</v>
      </c>
      <c r="E18" s="17">
        <v>1</v>
      </c>
      <c r="F18" s="17" t="str">
        <f>REPT("　",4)</f>
        <v>　　　　</v>
      </c>
      <c r="G18" s="40">
        <v>45701</v>
      </c>
      <c r="H18" s="17">
        <v>1</v>
      </c>
      <c r="I18" s="17" t="str">
        <f>REPT("　",1)</f>
        <v>　</v>
      </c>
      <c r="J18" s="17"/>
      <c r="K18" s="17"/>
      <c r="L18" s="17"/>
      <c r="M18" s="17"/>
      <c r="N18" s="17"/>
      <c r="O18" s="17"/>
      <c r="P18" s="17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38AF4-5A5F-4C56-9777-18A6144CEA4F}">
  <sheetPr codeName="Sheet5"/>
  <dimension ref="A1:AB1002"/>
  <sheetViews>
    <sheetView topLeftCell="G1" workbookViewId="0">
      <selection activeCell="J9" sqref="J9:K17"/>
    </sheetView>
  </sheetViews>
  <sheetFormatPr defaultColWidth="22.875" defaultRowHeight="18.75"/>
  <cols>
    <col min="1" max="2" width="2.75" customWidth="1"/>
    <col min="3" max="3" width="19.25" customWidth="1"/>
  </cols>
  <sheetData>
    <row r="1" spans="1:28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</row>
    <row r="2" spans="1:28">
      <c r="A2" s="20"/>
      <c r="B2" s="20"/>
      <c r="C2" s="20" t="s">
        <v>0</v>
      </c>
      <c r="D2" s="20" t="s">
        <v>1</v>
      </c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</row>
    <row r="3" spans="1:28">
      <c r="A3" s="20"/>
      <c r="B3" s="20"/>
      <c r="C3" s="20" t="s">
        <v>45</v>
      </c>
      <c r="D3" s="20" t="s">
        <v>100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</row>
    <row r="4" spans="1:28">
      <c r="A4" s="20"/>
      <c r="B4" s="20"/>
      <c r="C4" s="20" t="s">
        <v>4</v>
      </c>
      <c r="D4" s="20" t="s">
        <v>5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</row>
    <row r="5" spans="1:28" ht="19.5" thickBot="1">
      <c r="A5" s="20"/>
      <c r="B5" s="20"/>
      <c r="C5" s="21" t="s">
        <v>46</v>
      </c>
      <c r="D5" s="22" t="s">
        <v>19</v>
      </c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</row>
    <row r="6" spans="1:28" ht="19.5" thickBot="1">
      <c r="A6" s="20"/>
      <c r="B6" s="23"/>
      <c r="C6" s="24" t="s">
        <v>101</v>
      </c>
      <c r="D6" s="25"/>
      <c r="E6" s="26" t="s">
        <v>47</v>
      </c>
      <c r="F6" s="26"/>
      <c r="G6" s="26"/>
      <c r="H6" s="26"/>
      <c r="I6" s="26"/>
      <c r="J6" s="27" t="s">
        <v>48</v>
      </c>
      <c r="K6" s="27"/>
      <c r="L6" s="27"/>
      <c r="M6" s="27"/>
      <c r="N6" s="27"/>
      <c r="O6" s="27"/>
      <c r="P6" s="28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</row>
    <row r="7" spans="1:28" ht="19.5" thickBot="1">
      <c r="A7" s="20"/>
      <c r="B7" s="23"/>
      <c r="C7" s="24"/>
      <c r="D7" s="25"/>
      <c r="E7" s="26" t="s">
        <v>20</v>
      </c>
      <c r="F7" s="26" t="s">
        <v>28</v>
      </c>
      <c r="G7" s="26" t="s">
        <v>33</v>
      </c>
      <c r="H7" s="26" t="s">
        <v>38</v>
      </c>
      <c r="I7" s="26" t="s">
        <v>40</v>
      </c>
      <c r="J7" s="29" t="s">
        <v>49</v>
      </c>
      <c r="K7" s="29" t="s">
        <v>50</v>
      </c>
      <c r="L7" s="30" t="s">
        <v>51</v>
      </c>
      <c r="M7" s="30"/>
      <c r="N7" s="30"/>
      <c r="O7" s="30"/>
      <c r="P7" s="29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</row>
    <row r="8" spans="1:28" ht="19.5" thickBot="1">
      <c r="A8" s="20"/>
      <c r="B8" s="23"/>
      <c r="C8" s="31"/>
      <c r="D8" s="26"/>
      <c r="E8" s="26" t="s">
        <v>102</v>
      </c>
      <c r="F8" s="26" t="s">
        <v>29</v>
      </c>
      <c r="G8" s="26" t="s">
        <v>34</v>
      </c>
      <c r="H8" s="26" t="s">
        <v>39</v>
      </c>
      <c r="I8" s="26" t="s">
        <v>41</v>
      </c>
      <c r="J8" s="28"/>
      <c r="K8" s="28"/>
      <c r="L8" s="27" t="s">
        <v>102</v>
      </c>
      <c r="M8" s="27" t="s">
        <v>29</v>
      </c>
      <c r="N8" s="27" t="s">
        <v>34</v>
      </c>
      <c r="O8" s="27" t="s">
        <v>39</v>
      </c>
      <c r="P8" s="28" t="s">
        <v>41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</row>
    <row r="9" spans="1:28" ht="19.5" thickBot="1">
      <c r="A9" s="20"/>
      <c r="B9" s="32">
        <v>1</v>
      </c>
      <c r="C9" s="25" t="s">
        <v>52</v>
      </c>
      <c r="D9" s="26" t="s">
        <v>103</v>
      </c>
      <c r="E9" s="33">
        <v>1</v>
      </c>
      <c r="F9" s="34" t="s">
        <v>104</v>
      </c>
      <c r="G9" s="35">
        <v>45701</v>
      </c>
      <c r="H9" s="33">
        <v>1</v>
      </c>
      <c r="I9" s="34" t="s">
        <v>105</v>
      </c>
      <c r="J9" s="33">
        <v>200</v>
      </c>
      <c r="K9" s="34" t="s">
        <v>106</v>
      </c>
      <c r="L9" s="34" t="s">
        <v>107</v>
      </c>
      <c r="M9" s="34" t="s">
        <v>107</v>
      </c>
      <c r="N9" s="34" t="s">
        <v>107</v>
      </c>
      <c r="O9" s="34" t="s">
        <v>107</v>
      </c>
      <c r="P9" s="34" t="s">
        <v>107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</row>
    <row r="10" spans="1:28" ht="80.25" thickBot="1">
      <c r="A10" s="20"/>
      <c r="B10" s="32">
        <v>2</v>
      </c>
      <c r="C10" s="25"/>
      <c r="D10" s="26" t="s">
        <v>108</v>
      </c>
      <c r="E10" s="33">
        <v>1</v>
      </c>
      <c r="F10" s="36" t="s">
        <v>109</v>
      </c>
      <c r="G10" s="35">
        <v>45701</v>
      </c>
      <c r="H10" s="33">
        <v>5</v>
      </c>
      <c r="I10" s="36" t="s">
        <v>110</v>
      </c>
      <c r="J10" s="33">
        <v>200</v>
      </c>
      <c r="K10" s="34" t="s">
        <v>106</v>
      </c>
      <c r="L10" s="34" t="s">
        <v>107</v>
      </c>
      <c r="M10" s="34" t="s">
        <v>107</v>
      </c>
      <c r="N10" s="34" t="s">
        <v>107</v>
      </c>
      <c r="O10" s="34" t="s">
        <v>107</v>
      </c>
      <c r="P10" s="34" t="s">
        <v>107</v>
      </c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</row>
    <row r="11" spans="1:28" ht="19.5" thickBot="1">
      <c r="A11" s="20"/>
      <c r="B11" s="32">
        <v>3</v>
      </c>
      <c r="C11" s="25"/>
      <c r="D11" s="26" t="s">
        <v>111</v>
      </c>
      <c r="E11" s="33">
        <v>1</v>
      </c>
      <c r="F11" s="36" t="s">
        <v>54</v>
      </c>
      <c r="G11" s="36" t="s">
        <v>54</v>
      </c>
      <c r="H11" s="33">
        <v>1</v>
      </c>
      <c r="I11" s="36" t="s">
        <v>54</v>
      </c>
      <c r="J11" s="33">
        <v>200</v>
      </c>
      <c r="K11" s="34" t="s">
        <v>106</v>
      </c>
      <c r="L11" s="34" t="s">
        <v>107</v>
      </c>
      <c r="M11" s="34" t="s">
        <v>107</v>
      </c>
      <c r="N11" s="34" t="s">
        <v>107</v>
      </c>
      <c r="O11" s="34" t="s">
        <v>107</v>
      </c>
      <c r="P11" s="34" t="s">
        <v>107</v>
      </c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</row>
    <row r="12" spans="1:28" ht="19.5" thickBot="1">
      <c r="A12" s="20"/>
      <c r="B12" s="32">
        <v>4</v>
      </c>
      <c r="C12" s="26"/>
      <c r="D12" s="26" t="s">
        <v>55</v>
      </c>
      <c r="E12" s="33">
        <v>1</v>
      </c>
      <c r="F12" s="34" t="s">
        <v>104</v>
      </c>
      <c r="G12" s="35">
        <v>45701</v>
      </c>
      <c r="H12" s="33">
        <v>1</v>
      </c>
      <c r="I12" s="34" t="s">
        <v>112</v>
      </c>
      <c r="J12" s="33">
        <v>200</v>
      </c>
      <c r="K12" s="34" t="s">
        <v>106</v>
      </c>
      <c r="L12" s="34" t="s">
        <v>107</v>
      </c>
      <c r="M12" s="34" t="s">
        <v>107</v>
      </c>
      <c r="N12" s="34" t="s">
        <v>107</v>
      </c>
      <c r="O12" s="34" t="s">
        <v>107</v>
      </c>
      <c r="P12" s="34" t="s">
        <v>107</v>
      </c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</row>
    <row r="13" spans="1:28" ht="19.5" thickBot="1">
      <c r="A13" s="20"/>
      <c r="B13" s="32">
        <v>3</v>
      </c>
      <c r="C13" s="25" t="s">
        <v>56</v>
      </c>
      <c r="D13" s="26" t="s">
        <v>103</v>
      </c>
      <c r="E13" s="37">
        <v>0</v>
      </c>
      <c r="F13" s="36" t="s">
        <v>113</v>
      </c>
      <c r="G13" s="35">
        <v>45701</v>
      </c>
      <c r="H13" s="37">
        <v>0</v>
      </c>
      <c r="I13" s="34"/>
      <c r="J13" s="33">
        <v>200</v>
      </c>
      <c r="K13" s="34" t="s">
        <v>114</v>
      </c>
      <c r="L13" s="34" t="s">
        <v>58</v>
      </c>
      <c r="M13" s="34" t="s">
        <v>57</v>
      </c>
      <c r="N13" s="34"/>
      <c r="O13" s="34" t="s">
        <v>58</v>
      </c>
      <c r="P13" s="34" t="s">
        <v>57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</row>
    <row r="14" spans="1:28" ht="80.25" thickBot="1">
      <c r="A14" s="20"/>
      <c r="B14" s="32">
        <v>4</v>
      </c>
      <c r="C14" s="25"/>
      <c r="D14" s="26" t="s">
        <v>108</v>
      </c>
      <c r="E14" s="33">
        <v>1</v>
      </c>
      <c r="F14" s="36" t="s">
        <v>115</v>
      </c>
      <c r="G14" s="35">
        <v>45701</v>
      </c>
      <c r="H14" s="37">
        <v>6</v>
      </c>
      <c r="I14" s="36" t="s">
        <v>116</v>
      </c>
      <c r="J14" s="33">
        <v>200</v>
      </c>
      <c r="K14" s="34" t="s">
        <v>114</v>
      </c>
      <c r="L14" s="34"/>
      <c r="M14" s="34" t="s">
        <v>57</v>
      </c>
      <c r="N14" s="34"/>
      <c r="O14" s="34" t="s">
        <v>59</v>
      </c>
      <c r="P14" s="34" t="s">
        <v>57</v>
      </c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</row>
    <row r="15" spans="1:28" ht="19.5" thickBot="1">
      <c r="A15" s="20"/>
      <c r="B15" s="32">
        <v>5</v>
      </c>
      <c r="C15" s="25"/>
      <c r="D15" s="26" t="s">
        <v>60</v>
      </c>
      <c r="E15" s="36" t="s">
        <v>54</v>
      </c>
      <c r="F15" s="34" t="s">
        <v>104</v>
      </c>
      <c r="G15" s="34" t="s">
        <v>117</v>
      </c>
      <c r="H15" s="36" t="s">
        <v>54</v>
      </c>
      <c r="I15" s="34" t="s">
        <v>105</v>
      </c>
      <c r="J15" s="33">
        <v>200</v>
      </c>
      <c r="K15" s="34" t="s">
        <v>114</v>
      </c>
      <c r="L15" s="34" t="s">
        <v>61</v>
      </c>
      <c r="M15" s="34"/>
      <c r="N15" s="34"/>
      <c r="O15" s="34" t="s">
        <v>61</v>
      </c>
      <c r="P15" s="34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</row>
    <row r="16" spans="1:28" ht="19.5" thickBot="1">
      <c r="A16" s="20"/>
      <c r="B16" s="32">
        <v>6</v>
      </c>
      <c r="C16" s="25"/>
      <c r="D16" s="26" t="s">
        <v>118</v>
      </c>
      <c r="E16" s="33">
        <v>1</v>
      </c>
      <c r="F16" s="34" t="s">
        <v>104</v>
      </c>
      <c r="G16" s="36" t="s">
        <v>119</v>
      </c>
      <c r="H16" s="33">
        <v>1</v>
      </c>
      <c r="I16" s="34" t="s">
        <v>105</v>
      </c>
      <c r="J16" s="33">
        <v>200</v>
      </c>
      <c r="K16" s="34" t="s">
        <v>114</v>
      </c>
      <c r="L16" s="34"/>
      <c r="M16" s="34"/>
      <c r="N16" s="34" t="s">
        <v>120</v>
      </c>
      <c r="O16" s="34"/>
      <c r="P16" s="34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</row>
    <row r="17" spans="1:28" ht="19.5" thickBot="1">
      <c r="A17" s="20"/>
      <c r="B17" s="32">
        <v>7</v>
      </c>
      <c r="C17" s="25"/>
      <c r="D17" s="26" t="s">
        <v>55</v>
      </c>
      <c r="E17" s="33">
        <v>1</v>
      </c>
      <c r="F17" s="34"/>
      <c r="G17" s="34"/>
      <c r="H17" s="33">
        <v>1</v>
      </c>
      <c r="I17" s="34"/>
      <c r="J17" s="33">
        <v>200</v>
      </c>
      <c r="K17" s="34" t="s">
        <v>114</v>
      </c>
      <c r="L17" s="34"/>
      <c r="M17" s="34" t="s">
        <v>57</v>
      </c>
      <c r="N17" s="34" t="s">
        <v>121</v>
      </c>
      <c r="O17" s="34"/>
      <c r="P17" s="34" t="s">
        <v>57</v>
      </c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</row>
    <row r="18" spans="1:28" ht="19.5" thickBot="1">
      <c r="A18" s="20"/>
      <c r="B18" s="32">
        <v>8</v>
      </c>
      <c r="C18" s="25"/>
      <c r="D18" s="26" t="s">
        <v>122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</row>
    <row r="19" spans="1:28" ht="19.5" thickBot="1">
      <c r="A19" s="20"/>
      <c r="B19" s="32">
        <v>9</v>
      </c>
      <c r="C19" s="26"/>
      <c r="D19" s="26" t="s">
        <v>123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</row>
    <row r="20" spans="1:28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1:28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8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</row>
    <row r="24" spans="1:28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</row>
    <row r="25" spans="1:28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</row>
    <row r="26" spans="1:28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</row>
    <row r="27" spans="1:28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</row>
    <row r="28" spans="1:28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</row>
    <row r="29" spans="1:28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</row>
    <row r="30" spans="1:28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8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</row>
    <row r="32" spans="1:28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</row>
    <row r="33" spans="1:28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</row>
    <row r="34" spans="1:28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</row>
    <row r="35" spans="1:28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8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</row>
    <row r="37" spans="1:28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</row>
    <row r="38" spans="1:28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</row>
    <row r="39" spans="1:28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</row>
    <row r="40" spans="1:28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</row>
    <row r="41" spans="1:28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</row>
    <row r="42" spans="1:28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</row>
    <row r="43" spans="1:28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</row>
    <row r="44" spans="1:28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</row>
    <row r="45" spans="1:28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</row>
    <row r="46" spans="1:28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</row>
    <row r="47" spans="1:28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</row>
    <row r="48" spans="1:28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</row>
    <row r="49" spans="1:28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</row>
    <row r="50" spans="1:28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</row>
    <row r="51" spans="1:28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</row>
    <row r="52" spans="1:28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</row>
    <row r="53" spans="1:28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</row>
    <row r="54" spans="1:28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</row>
    <row r="55" spans="1:28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</row>
    <row r="56" spans="1:28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</row>
    <row r="57" spans="1:28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</row>
    <row r="58" spans="1:28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</row>
    <row r="59" spans="1:28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</row>
    <row r="60" spans="1:28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</row>
    <row r="61" spans="1:28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</row>
    <row r="62" spans="1:28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</row>
    <row r="63" spans="1:28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</row>
    <row r="64" spans="1:28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</row>
    <row r="65" spans="1:28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</row>
    <row r="66" spans="1:28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</row>
    <row r="67" spans="1:28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</row>
    <row r="68" spans="1:28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</row>
    <row r="69" spans="1:28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</row>
    <row r="70" spans="1:28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</row>
    <row r="71" spans="1:28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</row>
    <row r="72" spans="1:28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</row>
    <row r="73" spans="1:28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</row>
    <row r="74" spans="1:28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</row>
    <row r="75" spans="1:28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</row>
    <row r="76" spans="1:28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</row>
    <row r="77" spans="1:28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</row>
    <row r="78" spans="1:28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</row>
    <row r="79" spans="1:28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</row>
    <row r="80" spans="1:28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</row>
    <row r="81" spans="1:28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</row>
    <row r="82" spans="1:28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</row>
    <row r="83" spans="1:2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</row>
    <row r="84" spans="1:28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</row>
    <row r="85" spans="1:28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1:28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1:28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</row>
    <row r="88" spans="1:28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8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</row>
    <row r="90" spans="1:28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</row>
    <row r="91" spans="1:28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</row>
    <row r="92" spans="1:28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</row>
    <row r="93" spans="1:28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</row>
    <row r="94" spans="1:28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</row>
    <row r="95" spans="1:28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</row>
    <row r="96" spans="1:28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</row>
    <row r="97" spans="1:28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</row>
    <row r="98" spans="1:28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</row>
    <row r="99" spans="1:28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</row>
    <row r="100" spans="1:28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</row>
    <row r="101" spans="1:28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</row>
    <row r="102" spans="1:28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</row>
    <row r="103" spans="1:28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</row>
    <row r="104" spans="1:28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</row>
    <row r="105" spans="1:28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</row>
    <row r="106" spans="1:2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</row>
    <row r="107" spans="1:28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</row>
    <row r="108" spans="1:28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</row>
    <row r="109" spans="1:28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</row>
    <row r="110" spans="1:28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</row>
    <row r="111" spans="1:28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</row>
    <row r="112" spans="1:28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</row>
    <row r="113" spans="1:28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</row>
    <row r="114" spans="1:28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</row>
    <row r="115" spans="1:28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</row>
    <row r="116" spans="1:28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</row>
    <row r="117" spans="1:28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</row>
    <row r="118" spans="1:28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</row>
    <row r="119" spans="1:28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</row>
    <row r="120" spans="1:28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</row>
    <row r="121" spans="1:28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</row>
    <row r="122" spans="1:28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</row>
    <row r="123" spans="1:28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</row>
    <row r="124" spans="1:28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</row>
    <row r="125" spans="1:28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</row>
    <row r="126" spans="1:28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</row>
    <row r="127" spans="1:28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</row>
    <row r="128" spans="1:28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</row>
    <row r="129" spans="1:28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</row>
    <row r="130" spans="1:28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</row>
    <row r="131" spans="1:28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</row>
    <row r="132" spans="1:28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</row>
    <row r="133" spans="1:28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</row>
    <row r="134" spans="1:28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</row>
    <row r="135" spans="1:28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</row>
    <row r="136" spans="1:28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</row>
    <row r="137" spans="1:28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</row>
    <row r="138" spans="1:28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</row>
    <row r="139" spans="1:28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</row>
    <row r="140" spans="1:28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</row>
    <row r="141" spans="1:28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</row>
    <row r="142" spans="1:28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</row>
    <row r="143" spans="1:28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</row>
    <row r="144" spans="1:28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</row>
    <row r="145" spans="1:28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</row>
    <row r="146" spans="1:28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</row>
    <row r="147" spans="1:28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</row>
    <row r="148" spans="1:28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</row>
    <row r="149" spans="1:28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</row>
    <row r="150" spans="1:28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</row>
    <row r="151" spans="1:28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</row>
    <row r="152" spans="1:28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</row>
    <row r="153" spans="1:28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</row>
    <row r="154" spans="1:28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</row>
    <row r="155" spans="1:28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</row>
    <row r="156" spans="1:28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</row>
    <row r="157" spans="1:28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</row>
    <row r="158" spans="1:28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</row>
    <row r="159" spans="1:28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</row>
    <row r="160" spans="1:28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</row>
    <row r="161" spans="1:28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</row>
    <row r="162" spans="1:28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</row>
    <row r="163" spans="1:28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</row>
    <row r="164" spans="1:28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</row>
    <row r="165" spans="1:28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</row>
    <row r="166" spans="1:28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</row>
    <row r="167" spans="1:28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</row>
    <row r="168" spans="1:28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</row>
    <row r="169" spans="1:28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</row>
    <row r="170" spans="1:28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</row>
    <row r="171" spans="1:28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</row>
    <row r="172" spans="1:28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</row>
    <row r="173" spans="1:28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</row>
    <row r="174" spans="1:28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</row>
    <row r="175" spans="1:28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</row>
    <row r="176" spans="1:28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</row>
    <row r="177" spans="1:28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</row>
    <row r="178" spans="1:28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</row>
    <row r="179" spans="1:28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</row>
    <row r="180" spans="1:28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</row>
    <row r="181" spans="1:28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</row>
    <row r="182" spans="1:28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</row>
    <row r="183" spans="1:28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</row>
    <row r="184" spans="1:28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</row>
    <row r="185" spans="1:28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</row>
    <row r="186" spans="1:28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</row>
    <row r="187" spans="1:28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</row>
    <row r="188" spans="1:28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</row>
    <row r="189" spans="1:28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</row>
    <row r="190" spans="1:28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</row>
    <row r="191" spans="1:28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</row>
    <row r="192" spans="1:28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</row>
    <row r="193" spans="1:28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</row>
    <row r="194" spans="1:28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</row>
    <row r="195" spans="1:28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</row>
    <row r="196" spans="1:28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</row>
    <row r="197" spans="1:28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</row>
    <row r="198" spans="1:28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</row>
    <row r="199" spans="1:28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</row>
    <row r="200" spans="1:28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</row>
    <row r="201" spans="1:28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</row>
    <row r="202" spans="1:28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</row>
    <row r="203" spans="1:28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</row>
    <row r="204" spans="1:28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</row>
    <row r="205" spans="1:28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</row>
    <row r="206" spans="1:28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</row>
    <row r="207" spans="1:28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</row>
    <row r="208" spans="1:28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</row>
    <row r="209" spans="1:28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</row>
    <row r="210" spans="1:28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</row>
    <row r="211" spans="1:28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</row>
    <row r="212" spans="1:28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</row>
    <row r="213" spans="1:28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</row>
    <row r="214" spans="1:28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</row>
    <row r="215" spans="1:28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</row>
    <row r="216" spans="1:28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</row>
    <row r="217" spans="1:28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</row>
    <row r="218" spans="1:28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</row>
    <row r="219" spans="1:28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</row>
    <row r="220" spans="1:28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</row>
    <row r="221" spans="1:28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</row>
    <row r="222" spans="1:28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</row>
    <row r="223" spans="1:28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</row>
    <row r="224" spans="1:28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</row>
    <row r="225" spans="1:28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</row>
    <row r="226" spans="1:28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</row>
    <row r="227" spans="1:28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</row>
    <row r="228" spans="1:28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</row>
    <row r="229" spans="1:28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</row>
    <row r="230" spans="1:28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</row>
    <row r="231" spans="1:28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</row>
    <row r="232" spans="1:28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</row>
    <row r="233" spans="1:28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</row>
    <row r="234" spans="1:28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</row>
    <row r="235" spans="1:28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</row>
    <row r="236" spans="1:28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</row>
    <row r="237" spans="1:28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</row>
    <row r="238" spans="1:28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</row>
    <row r="239" spans="1:28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</row>
    <row r="240" spans="1:28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</row>
    <row r="241" spans="1:28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</row>
    <row r="242" spans="1:28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</row>
    <row r="243" spans="1:28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</row>
    <row r="244" spans="1:28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</row>
    <row r="245" spans="1:28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</row>
    <row r="246" spans="1:28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</row>
    <row r="247" spans="1:28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</row>
    <row r="248" spans="1:28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</row>
    <row r="249" spans="1:28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</row>
    <row r="250" spans="1:28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</row>
    <row r="251" spans="1:28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</row>
    <row r="252" spans="1:28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</row>
    <row r="253" spans="1:28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</row>
    <row r="254" spans="1:28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</row>
    <row r="255" spans="1:28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</row>
    <row r="256" spans="1:28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</row>
    <row r="257" spans="1:28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</row>
    <row r="258" spans="1:28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</row>
    <row r="259" spans="1:28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</row>
    <row r="260" spans="1:28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</row>
    <row r="261" spans="1:28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</row>
    <row r="262" spans="1:28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</row>
    <row r="263" spans="1:28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</row>
    <row r="264" spans="1:28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</row>
    <row r="265" spans="1:28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</row>
    <row r="266" spans="1:28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</row>
    <row r="267" spans="1:28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</row>
    <row r="268" spans="1:28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</row>
    <row r="269" spans="1:28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</row>
    <row r="270" spans="1:28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</row>
    <row r="271" spans="1:28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</row>
    <row r="272" spans="1:28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</row>
    <row r="273" spans="1:28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</row>
    <row r="274" spans="1:28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</row>
    <row r="275" spans="1:28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</row>
    <row r="276" spans="1:28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</row>
    <row r="277" spans="1:28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</row>
    <row r="278" spans="1:28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</row>
    <row r="279" spans="1:28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</row>
    <row r="280" spans="1:28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</row>
    <row r="281" spans="1:28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</row>
    <row r="282" spans="1:28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</row>
    <row r="283" spans="1:28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</row>
    <row r="284" spans="1:28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</row>
    <row r="285" spans="1:28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</row>
    <row r="286" spans="1:28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</row>
    <row r="287" spans="1:28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</row>
    <row r="288" spans="1:28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</row>
    <row r="289" spans="1:28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</row>
    <row r="290" spans="1:28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</row>
    <row r="291" spans="1:28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</row>
    <row r="292" spans="1:28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</row>
    <row r="293" spans="1:28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</row>
    <row r="294" spans="1:28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</row>
    <row r="295" spans="1:28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</row>
    <row r="296" spans="1:28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</row>
    <row r="297" spans="1:28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</row>
    <row r="298" spans="1:28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</row>
    <row r="299" spans="1:28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</row>
    <row r="300" spans="1:28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</row>
    <row r="301" spans="1:28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</row>
    <row r="302" spans="1:28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</row>
    <row r="303" spans="1:28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</row>
    <row r="304" spans="1:28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</row>
    <row r="305" spans="1:28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</row>
    <row r="306" spans="1:28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</row>
    <row r="307" spans="1:28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</row>
    <row r="308" spans="1:28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</row>
    <row r="309" spans="1:28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</row>
    <row r="310" spans="1:28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</row>
    <row r="311" spans="1:28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</row>
    <row r="312" spans="1:28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</row>
    <row r="313" spans="1:28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</row>
    <row r="314" spans="1:28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</row>
    <row r="315" spans="1:28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</row>
    <row r="316" spans="1:28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</row>
    <row r="317" spans="1:28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</row>
    <row r="318" spans="1:28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</row>
    <row r="319" spans="1:28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</row>
    <row r="320" spans="1:28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</row>
    <row r="321" spans="1:28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</row>
    <row r="322" spans="1:28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</row>
    <row r="323" spans="1:28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</row>
    <row r="324" spans="1:28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</row>
    <row r="325" spans="1:28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</row>
    <row r="326" spans="1:28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</row>
    <row r="327" spans="1:28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</row>
    <row r="328" spans="1:28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</row>
    <row r="329" spans="1:28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</row>
    <row r="330" spans="1:28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</row>
    <row r="331" spans="1:28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</row>
    <row r="332" spans="1:28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</row>
    <row r="333" spans="1:28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</row>
    <row r="334" spans="1:28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</row>
    <row r="335" spans="1:28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</row>
    <row r="336" spans="1:28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</row>
    <row r="337" spans="1:28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</row>
    <row r="338" spans="1:28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</row>
    <row r="339" spans="1:28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</row>
    <row r="340" spans="1:28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</row>
    <row r="341" spans="1:28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</row>
    <row r="342" spans="1:28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</row>
    <row r="343" spans="1:28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</row>
    <row r="344" spans="1:28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</row>
    <row r="345" spans="1:28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</row>
    <row r="346" spans="1:28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</row>
    <row r="347" spans="1:28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</row>
    <row r="348" spans="1:28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</row>
    <row r="349" spans="1:28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</row>
    <row r="350" spans="1:28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</row>
    <row r="351" spans="1:28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</row>
    <row r="352" spans="1:28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</row>
    <row r="353" spans="1:28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</row>
    <row r="354" spans="1:28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</row>
    <row r="355" spans="1:28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</row>
    <row r="356" spans="1:28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</row>
    <row r="357" spans="1:28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</row>
    <row r="358" spans="1:28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</row>
    <row r="359" spans="1:28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</row>
    <row r="360" spans="1:28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</row>
    <row r="361" spans="1:28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</row>
    <row r="362" spans="1:28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</row>
    <row r="363" spans="1:28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</row>
    <row r="364" spans="1:28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</row>
    <row r="365" spans="1:28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</row>
    <row r="366" spans="1:28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</row>
    <row r="367" spans="1:28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</row>
    <row r="368" spans="1:28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</row>
    <row r="369" spans="1:28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</row>
    <row r="370" spans="1:28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</row>
    <row r="371" spans="1:28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</row>
    <row r="372" spans="1:28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</row>
    <row r="373" spans="1:28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</row>
    <row r="374" spans="1:28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</row>
    <row r="375" spans="1:28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</row>
    <row r="376" spans="1:28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</row>
    <row r="377" spans="1:28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</row>
    <row r="378" spans="1:28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</row>
    <row r="379" spans="1:28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</row>
    <row r="380" spans="1:28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</row>
    <row r="381" spans="1:28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</row>
    <row r="382" spans="1:28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</row>
    <row r="383" spans="1:28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</row>
    <row r="384" spans="1:28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</row>
    <row r="385" spans="1:28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</row>
    <row r="386" spans="1:28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</row>
    <row r="387" spans="1:28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</row>
    <row r="388" spans="1:28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</row>
    <row r="389" spans="1:28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</row>
    <row r="390" spans="1:28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</row>
    <row r="391" spans="1:28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</row>
    <row r="392" spans="1:28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</row>
    <row r="393" spans="1:28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</row>
    <row r="394" spans="1:28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</row>
    <row r="395" spans="1:28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</row>
    <row r="396" spans="1:28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</row>
    <row r="397" spans="1:28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</row>
    <row r="398" spans="1:28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</row>
    <row r="399" spans="1:28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</row>
    <row r="400" spans="1:28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</row>
    <row r="401" spans="1:28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</row>
    <row r="402" spans="1:28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</row>
    <row r="403" spans="1:28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</row>
    <row r="404" spans="1:28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</row>
    <row r="405" spans="1:28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</row>
    <row r="406" spans="1:28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</row>
    <row r="407" spans="1:28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</row>
    <row r="408" spans="1:28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</row>
    <row r="409" spans="1:28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</row>
    <row r="410" spans="1:28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</row>
    <row r="411" spans="1:28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</row>
    <row r="412" spans="1:28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</row>
    <row r="413" spans="1:28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</row>
    <row r="414" spans="1:28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</row>
    <row r="415" spans="1:28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</row>
    <row r="416" spans="1:28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</row>
    <row r="417" spans="1:28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</row>
    <row r="418" spans="1:28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</row>
    <row r="419" spans="1:28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</row>
    <row r="420" spans="1:28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</row>
    <row r="421" spans="1:28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</row>
    <row r="422" spans="1:28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</row>
    <row r="423" spans="1:28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</row>
    <row r="424" spans="1:28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</row>
    <row r="425" spans="1:28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</row>
    <row r="426" spans="1:28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</row>
    <row r="427" spans="1:28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</row>
    <row r="428" spans="1:28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</row>
    <row r="429" spans="1:28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</row>
    <row r="430" spans="1:28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</row>
    <row r="431" spans="1:28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</row>
    <row r="432" spans="1:28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</row>
    <row r="433" spans="1:28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</row>
    <row r="434" spans="1:28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</row>
    <row r="435" spans="1:28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</row>
    <row r="436" spans="1:28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</row>
    <row r="437" spans="1:28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</row>
    <row r="438" spans="1:28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</row>
    <row r="439" spans="1:28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</row>
    <row r="440" spans="1:28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</row>
    <row r="441" spans="1:28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</row>
    <row r="442" spans="1:28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</row>
    <row r="443" spans="1:28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</row>
    <row r="444" spans="1:28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</row>
    <row r="445" spans="1:28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</row>
    <row r="446" spans="1:28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</row>
    <row r="447" spans="1:28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</row>
    <row r="448" spans="1:28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</row>
    <row r="449" spans="1:28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</row>
    <row r="450" spans="1:28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</row>
    <row r="451" spans="1:28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</row>
    <row r="452" spans="1:28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</row>
    <row r="453" spans="1:28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</row>
    <row r="454" spans="1:28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</row>
    <row r="455" spans="1:28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</row>
    <row r="456" spans="1:28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</row>
    <row r="457" spans="1:28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</row>
    <row r="458" spans="1:28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</row>
    <row r="459" spans="1:28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</row>
    <row r="460" spans="1:28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</row>
    <row r="461" spans="1:28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</row>
    <row r="462" spans="1:28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</row>
    <row r="463" spans="1:28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</row>
    <row r="464" spans="1:28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</row>
    <row r="465" spans="1:28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</row>
    <row r="466" spans="1:28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</row>
    <row r="467" spans="1:28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</row>
    <row r="468" spans="1:28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</row>
    <row r="469" spans="1:28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</row>
    <row r="470" spans="1:28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</row>
    <row r="471" spans="1:28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</row>
    <row r="472" spans="1:28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</row>
    <row r="473" spans="1:28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</row>
    <row r="474" spans="1:28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</row>
    <row r="475" spans="1:28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</row>
    <row r="476" spans="1:28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</row>
    <row r="477" spans="1:28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</row>
    <row r="478" spans="1:28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</row>
    <row r="479" spans="1:28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</row>
    <row r="480" spans="1:28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</row>
    <row r="481" spans="1:28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</row>
    <row r="482" spans="1:28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</row>
    <row r="483" spans="1:28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</row>
    <row r="484" spans="1:28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</row>
    <row r="485" spans="1:28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</row>
    <row r="486" spans="1:28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</row>
    <row r="487" spans="1:28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</row>
    <row r="488" spans="1:28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</row>
    <row r="489" spans="1:28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</row>
    <row r="490" spans="1:28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</row>
    <row r="491" spans="1:28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</row>
    <row r="492" spans="1:28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</row>
    <row r="493" spans="1:28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</row>
    <row r="494" spans="1:28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</row>
    <row r="495" spans="1:28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</row>
    <row r="496" spans="1:28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</row>
    <row r="497" spans="1:28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</row>
    <row r="498" spans="1:28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</row>
    <row r="499" spans="1:28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</row>
    <row r="500" spans="1:28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</row>
    <row r="501" spans="1:28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</row>
    <row r="502" spans="1:28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</row>
    <row r="503" spans="1:28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</row>
    <row r="504" spans="1:28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</row>
    <row r="505" spans="1:28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</row>
    <row r="506" spans="1:28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</row>
    <row r="507" spans="1:28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</row>
    <row r="508" spans="1:28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</row>
    <row r="509" spans="1:28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</row>
    <row r="510" spans="1:28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</row>
    <row r="511" spans="1:28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</row>
    <row r="512" spans="1:28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</row>
    <row r="513" spans="1:28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</row>
    <row r="514" spans="1:28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</row>
    <row r="515" spans="1:28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</row>
    <row r="516" spans="1:28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</row>
    <row r="517" spans="1:28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</row>
    <row r="518" spans="1:28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</row>
    <row r="519" spans="1:28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</row>
    <row r="520" spans="1:28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</row>
    <row r="521" spans="1:28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</row>
    <row r="522" spans="1:28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</row>
    <row r="523" spans="1:28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</row>
    <row r="524" spans="1:28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</row>
    <row r="525" spans="1:28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</row>
    <row r="526" spans="1:28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</row>
    <row r="527" spans="1:28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</row>
    <row r="528" spans="1:28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</row>
    <row r="529" spans="1:28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</row>
    <row r="530" spans="1:28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</row>
    <row r="531" spans="1:28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</row>
    <row r="532" spans="1:28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</row>
    <row r="533" spans="1:28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</row>
    <row r="534" spans="1:28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</row>
    <row r="535" spans="1:28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</row>
    <row r="536" spans="1:28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</row>
    <row r="537" spans="1:28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</row>
    <row r="538" spans="1:28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</row>
    <row r="539" spans="1:28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</row>
    <row r="540" spans="1:28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</row>
    <row r="541" spans="1:28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</row>
    <row r="542" spans="1:28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</row>
    <row r="543" spans="1:28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</row>
    <row r="544" spans="1:28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</row>
    <row r="545" spans="1:28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</row>
    <row r="546" spans="1:28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</row>
    <row r="547" spans="1:28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</row>
    <row r="548" spans="1:28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</row>
    <row r="549" spans="1:28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</row>
    <row r="550" spans="1:28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</row>
    <row r="551" spans="1:28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</row>
    <row r="552" spans="1:28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</row>
    <row r="553" spans="1:28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</row>
    <row r="554" spans="1:28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</row>
    <row r="555" spans="1:28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</row>
    <row r="556" spans="1:28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</row>
    <row r="557" spans="1:28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</row>
    <row r="558" spans="1:28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</row>
    <row r="559" spans="1:28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</row>
    <row r="560" spans="1:28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</row>
    <row r="561" spans="1:28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</row>
    <row r="562" spans="1:28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</row>
    <row r="563" spans="1:28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</row>
    <row r="564" spans="1:28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</row>
    <row r="565" spans="1:28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</row>
    <row r="566" spans="1:28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</row>
    <row r="567" spans="1:28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</row>
    <row r="568" spans="1:28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</row>
    <row r="569" spans="1:28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</row>
    <row r="570" spans="1:28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</row>
    <row r="571" spans="1:28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</row>
    <row r="572" spans="1:28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</row>
    <row r="573" spans="1:28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</row>
    <row r="574" spans="1:28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</row>
    <row r="575" spans="1:28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</row>
    <row r="576" spans="1:28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</row>
    <row r="577" spans="1:28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</row>
    <row r="578" spans="1:28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</row>
    <row r="579" spans="1:28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</row>
    <row r="580" spans="1:28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</row>
    <row r="581" spans="1:28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</row>
    <row r="582" spans="1:28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</row>
    <row r="583" spans="1:28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</row>
    <row r="584" spans="1:28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</row>
    <row r="585" spans="1:28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</row>
    <row r="586" spans="1:28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</row>
    <row r="587" spans="1:28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</row>
    <row r="588" spans="1:28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</row>
    <row r="589" spans="1:28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</row>
    <row r="590" spans="1:28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</row>
    <row r="591" spans="1:28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</row>
    <row r="592" spans="1:28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</row>
    <row r="593" spans="1:28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</row>
    <row r="594" spans="1:28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</row>
    <row r="595" spans="1:28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</row>
    <row r="596" spans="1:28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</row>
    <row r="597" spans="1:28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</row>
    <row r="598" spans="1:28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</row>
    <row r="599" spans="1:28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</row>
    <row r="600" spans="1:28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</row>
    <row r="601" spans="1:28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</row>
    <row r="602" spans="1:28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</row>
    <row r="603" spans="1:28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</row>
    <row r="604" spans="1:28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</row>
    <row r="605" spans="1:28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</row>
    <row r="606" spans="1:28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</row>
    <row r="607" spans="1:28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</row>
    <row r="608" spans="1:28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</row>
    <row r="609" spans="1:28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</row>
    <row r="610" spans="1:28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</row>
    <row r="611" spans="1:28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</row>
    <row r="612" spans="1:28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</row>
    <row r="613" spans="1:28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</row>
    <row r="614" spans="1:28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</row>
    <row r="615" spans="1:28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</row>
    <row r="616" spans="1:28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</row>
    <row r="617" spans="1:28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</row>
    <row r="618" spans="1:28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</row>
    <row r="619" spans="1:28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</row>
    <row r="620" spans="1:28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</row>
    <row r="621" spans="1:28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</row>
    <row r="622" spans="1:28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</row>
    <row r="623" spans="1:28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</row>
    <row r="624" spans="1:28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</row>
    <row r="625" spans="1:28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</row>
    <row r="626" spans="1:28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</row>
    <row r="627" spans="1:28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</row>
    <row r="628" spans="1:28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</row>
    <row r="629" spans="1:28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</row>
    <row r="630" spans="1:28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</row>
    <row r="631" spans="1:28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</row>
    <row r="632" spans="1:28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</row>
    <row r="633" spans="1:28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</row>
    <row r="634" spans="1:28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</row>
    <row r="635" spans="1:28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</row>
    <row r="636" spans="1:28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</row>
    <row r="637" spans="1:28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</row>
    <row r="638" spans="1:28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</row>
    <row r="639" spans="1:28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</row>
    <row r="640" spans="1:28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</row>
    <row r="641" spans="1:28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</row>
    <row r="642" spans="1:28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</row>
    <row r="643" spans="1:28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</row>
    <row r="644" spans="1:28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</row>
    <row r="645" spans="1:28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</row>
    <row r="646" spans="1:28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</row>
    <row r="647" spans="1:28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</row>
    <row r="648" spans="1:28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</row>
    <row r="649" spans="1:28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</row>
    <row r="650" spans="1:28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</row>
    <row r="651" spans="1:28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</row>
    <row r="652" spans="1:28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</row>
    <row r="653" spans="1:28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</row>
    <row r="654" spans="1:28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</row>
    <row r="655" spans="1:28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</row>
    <row r="656" spans="1:28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</row>
    <row r="657" spans="1:28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</row>
    <row r="658" spans="1:28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</row>
    <row r="659" spans="1:28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</row>
    <row r="660" spans="1:28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</row>
    <row r="661" spans="1:28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</row>
    <row r="662" spans="1:28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</row>
    <row r="663" spans="1:28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</row>
    <row r="664" spans="1:28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</row>
    <row r="665" spans="1:28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</row>
    <row r="666" spans="1:28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</row>
    <row r="667" spans="1:28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</row>
    <row r="668" spans="1:28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</row>
    <row r="669" spans="1:28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</row>
    <row r="670" spans="1:28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</row>
    <row r="671" spans="1:28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</row>
    <row r="672" spans="1:28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</row>
    <row r="673" spans="1:28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</row>
    <row r="674" spans="1:28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</row>
    <row r="675" spans="1:28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</row>
    <row r="676" spans="1:28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</row>
    <row r="677" spans="1:28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</row>
    <row r="678" spans="1:28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</row>
    <row r="679" spans="1:28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</row>
    <row r="680" spans="1:28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</row>
    <row r="681" spans="1:28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</row>
    <row r="682" spans="1:28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</row>
    <row r="683" spans="1:28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</row>
    <row r="684" spans="1:28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</row>
    <row r="685" spans="1:28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</row>
    <row r="686" spans="1:28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</row>
    <row r="687" spans="1:28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</row>
    <row r="688" spans="1:28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</row>
    <row r="689" spans="1:28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</row>
    <row r="690" spans="1:28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</row>
    <row r="691" spans="1:28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</row>
    <row r="692" spans="1:28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</row>
    <row r="693" spans="1:28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</row>
    <row r="694" spans="1:28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</row>
    <row r="695" spans="1:28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</row>
    <row r="696" spans="1:28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</row>
    <row r="697" spans="1:28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</row>
    <row r="698" spans="1:28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</row>
    <row r="699" spans="1:28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</row>
    <row r="700" spans="1:28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</row>
    <row r="701" spans="1:28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</row>
    <row r="702" spans="1:28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</row>
    <row r="703" spans="1:28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</row>
    <row r="704" spans="1:28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</row>
    <row r="705" spans="1:28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</row>
    <row r="706" spans="1:28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</row>
    <row r="707" spans="1:28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</row>
    <row r="708" spans="1:28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</row>
    <row r="709" spans="1:28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</row>
    <row r="710" spans="1:28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</row>
    <row r="711" spans="1:28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</row>
    <row r="712" spans="1:28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</row>
    <row r="713" spans="1:28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</row>
    <row r="714" spans="1:28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</row>
    <row r="715" spans="1:28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</row>
    <row r="716" spans="1:28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</row>
    <row r="717" spans="1:28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</row>
    <row r="718" spans="1:28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</row>
    <row r="719" spans="1:28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</row>
    <row r="720" spans="1:28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</row>
    <row r="721" spans="1:28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</row>
    <row r="722" spans="1:28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</row>
    <row r="723" spans="1:28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</row>
    <row r="724" spans="1:28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</row>
    <row r="725" spans="1:28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</row>
    <row r="726" spans="1:28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</row>
    <row r="727" spans="1:28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</row>
    <row r="728" spans="1:28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</row>
    <row r="729" spans="1:28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</row>
    <row r="730" spans="1:28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</row>
    <row r="731" spans="1:28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</row>
    <row r="732" spans="1:28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</row>
    <row r="733" spans="1:28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</row>
    <row r="734" spans="1:28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</row>
    <row r="735" spans="1:28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</row>
    <row r="736" spans="1:28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</row>
    <row r="737" spans="1:28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</row>
    <row r="738" spans="1:28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</row>
    <row r="739" spans="1:28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</row>
    <row r="740" spans="1:28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</row>
    <row r="741" spans="1:28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</row>
    <row r="742" spans="1:28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</row>
    <row r="743" spans="1:28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</row>
    <row r="744" spans="1:28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</row>
    <row r="745" spans="1:28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</row>
    <row r="746" spans="1:28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</row>
    <row r="747" spans="1:28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</row>
    <row r="748" spans="1:28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</row>
    <row r="749" spans="1:28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</row>
    <row r="750" spans="1:28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</row>
    <row r="751" spans="1:28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</row>
    <row r="752" spans="1:28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</row>
    <row r="753" spans="1:28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</row>
    <row r="754" spans="1:28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</row>
    <row r="755" spans="1:28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</row>
    <row r="756" spans="1:28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</row>
    <row r="757" spans="1:28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</row>
    <row r="758" spans="1:28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</row>
    <row r="759" spans="1:28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</row>
    <row r="760" spans="1:28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</row>
    <row r="761" spans="1:28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</row>
    <row r="762" spans="1:28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</row>
    <row r="763" spans="1:28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</row>
    <row r="764" spans="1:28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</row>
    <row r="765" spans="1:28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</row>
    <row r="766" spans="1:28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</row>
    <row r="767" spans="1:28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</row>
    <row r="768" spans="1:28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</row>
    <row r="769" spans="1:28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</row>
    <row r="770" spans="1:28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</row>
    <row r="771" spans="1:28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</row>
    <row r="772" spans="1:28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</row>
    <row r="773" spans="1:28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</row>
    <row r="774" spans="1:28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</row>
    <row r="775" spans="1:28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</row>
    <row r="776" spans="1:28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</row>
    <row r="777" spans="1:28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</row>
    <row r="778" spans="1:28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</row>
    <row r="779" spans="1:28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</row>
    <row r="780" spans="1:28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</row>
    <row r="781" spans="1:28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</row>
    <row r="782" spans="1:28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</row>
    <row r="783" spans="1:28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</row>
    <row r="784" spans="1:28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</row>
    <row r="785" spans="1:28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</row>
    <row r="786" spans="1:28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</row>
    <row r="787" spans="1:28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</row>
    <row r="788" spans="1:28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</row>
    <row r="789" spans="1:28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</row>
    <row r="790" spans="1:28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</row>
    <row r="791" spans="1:28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</row>
    <row r="792" spans="1:28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</row>
    <row r="793" spans="1:28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</row>
    <row r="794" spans="1:28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</row>
    <row r="795" spans="1:28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</row>
    <row r="796" spans="1:28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</row>
    <row r="797" spans="1:28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</row>
    <row r="798" spans="1:28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</row>
    <row r="799" spans="1:28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</row>
    <row r="800" spans="1:28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</row>
    <row r="801" spans="1:28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</row>
    <row r="802" spans="1:28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</row>
    <row r="803" spans="1:28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</row>
    <row r="804" spans="1:28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</row>
    <row r="805" spans="1:28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</row>
    <row r="806" spans="1:28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</row>
    <row r="807" spans="1:28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</row>
    <row r="808" spans="1:28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</row>
    <row r="809" spans="1:28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</row>
    <row r="810" spans="1:28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</row>
    <row r="811" spans="1:28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</row>
    <row r="812" spans="1:28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</row>
    <row r="813" spans="1:28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</row>
    <row r="814" spans="1:28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</row>
    <row r="815" spans="1:28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</row>
    <row r="816" spans="1:28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</row>
    <row r="817" spans="1:28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</row>
    <row r="818" spans="1:28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</row>
    <row r="819" spans="1:28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</row>
    <row r="820" spans="1:28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</row>
    <row r="821" spans="1:28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</row>
    <row r="822" spans="1:28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</row>
    <row r="823" spans="1:28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</row>
    <row r="824" spans="1:28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</row>
    <row r="825" spans="1:28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</row>
    <row r="826" spans="1:28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</row>
    <row r="827" spans="1:28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</row>
    <row r="828" spans="1:28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</row>
    <row r="829" spans="1:28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</row>
    <row r="830" spans="1:28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</row>
    <row r="831" spans="1:28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</row>
    <row r="832" spans="1:28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</row>
    <row r="833" spans="1:28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</row>
    <row r="834" spans="1:28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</row>
    <row r="835" spans="1:28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</row>
    <row r="836" spans="1:28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</row>
    <row r="837" spans="1:28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</row>
    <row r="838" spans="1:28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</row>
    <row r="839" spans="1:28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</row>
    <row r="840" spans="1:28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</row>
    <row r="841" spans="1:28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</row>
    <row r="842" spans="1:28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</row>
    <row r="843" spans="1:28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</row>
    <row r="844" spans="1:28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</row>
    <row r="845" spans="1:28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</row>
    <row r="846" spans="1:28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</row>
    <row r="847" spans="1:28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</row>
    <row r="848" spans="1:28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</row>
    <row r="849" spans="1:28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</row>
    <row r="850" spans="1:28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</row>
    <row r="851" spans="1:28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</row>
    <row r="852" spans="1:28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</row>
    <row r="853" spans="1:28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</row>
    <row r="854" spans="1:28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</row>
    <row r="855" spans="1:28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</row>
    <row r="856" spans="1:28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</row>
    <row r="857" spans="1:28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</row>
    <row r="858" spans="1:28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</row>
    <row r="859" spans="1:28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</row>
    <row r="860" spans="1:28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</row>
    <row r="861" spans="1:28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</row>
    <row r="862" spans="1:28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</row>
    <row r="863" spans="1:28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</row>
    <row r="864" spans="1:28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</row>
    <row r="865" spans="1:28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</row>
    <row r="866" spans="1:28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</row>
    <row r="867" spans="1:28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</row>
    <row r="868" spans="1:28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</row>
    <row r="869" spans="1:28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</row>
    <row r="870" spans="1:28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</row>
    <row r="871" spans="1:28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</row>
    <row r="872" spans="1:28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</row>
    <row r="873" spans="1:28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</row>
    <row r="874" spans="1:28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</row>
    <row r="875" spans="1:28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</row>
    <row r="876" spans="1:28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</row>
    <row r="877" spans="1:28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</row>
    <row r="878" spans="1:28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</row>
    <row r="879" spans="1:28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</row>
    <row r="880" spans="1:28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</row>
    <row r="881" spans="1:28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</row>
    <row r="882" spans="1:28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</row>
    <row r="883" spans="1:28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</row>
    <row r="884" spans="1:28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</row>
    <row r="885" spans="1:28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</row>
    <row r="886" spans="1:28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</row>
    <row r="887" spans="1:28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</row>
    <row r="888" spans="1:28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</row>
    <row r="889" spans="1:28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</row>
    <row r="890" spans="1:28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</row>
    <row r="891" spans="1:28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</row>
    <row r="892" spans="1:28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</row>
    <row r="893" spans="1:28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</row>
    <row r="894" spans="1:28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</row>
    <row r="895" spans="1:28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</row>
    <row r="896" spans="1:28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</row>
    <row r="897" spans="1:28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</row>
    <row r="898" spans="1:28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</row>
    <row r="899" spans="1:28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</row>
    <row r="900" spans="1:28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</row>
    <row r="901" spans="1:28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</row>
    <row r="902" spans="1:28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</row>
    <row r="903" spans="1:28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</row>
    <row r="904" spans="1:28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</row>
    <row r="905" spans="1:28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</row>
    <row r="906" spans="1:28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</row>
    <row r="907" spans="1:28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</row>
    <row r="908" spans="1:28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</row>
    <row r="909" spans="1:28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</row>
    <row r="910" spans="1:28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</row>
    <row r="911" spans="1:28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</row>
    <row r="912" spans="1:28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</row>
    <row r="913" spans="1:28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</row>
    <row r="914" spans="1:28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</row>
    <row r="915" spans="1:28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</row>
    <row r="916" spans="1:28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</row>
    <row r="917" spans="1:28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</row>
    <row r="918" spans="1:28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</row>
    <row r="919" spans="1:28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</row>
    <row r="920" spans="1:28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</row>
    <row r="921" spans="1:28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</row>
    <row r="922" spans="1:28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</row>
    <row r="923" spans="1:28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</row>
    <row r="924" spans="1:28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</row>
    <row r="925" spans="1:28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</row>
    <row r="926" spans="1:28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</row>
    <row r="927" spans="1:28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</row>
    <row r="928" spans="1:28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</row>
    <row r="929" spans="1:28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</row>
    <row r="930" spans="1:28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</row>
    <row r="931" spans="1:28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</row>
    <row r="932" spans="1:28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</row>
    <row r="933" spans="1:28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</row>
    <row r="934" spans="1:28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</row>
    <row r="935" spans="1:28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</row>
    <row r="936" spans="1:28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</row>
    <row r="937" spans="1:28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</row>
    <row r="938" spans="1:28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</row>
    <row r="939" spans="1:28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</row>
    <row r="940" spans="1:28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</row>
    <row r="941" spans="1:28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</row>
    <row r="942" spans="1:28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</row>
    <row r="943" spans="1:28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</row>
    <row r="944" spans="1:28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</row>
    <row r="945" spans="1:28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</row>
    <row r="946" spans="1:28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</row>
    <row r="947" spans="1:28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</row>
    <row r="948" spans="1:28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</row>
    <row r="949" spans="1:28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</row>
    <row r="950" spans="1:28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</row>
    <row r="951" spans="1:28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</row>
    <row r="952" spans="1:28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</row>
    <row r="953" spans="1:28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</row>
    <row r="954" spans="1:28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</row>
    <row r="955" spans="1:28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</row>
    <row r="956" spans="1:28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</row>
    <row r="957" spans="1:28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</row>
    <row r="958" spans="1:28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</row>
    <row r="959" spans="1:28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</row>
    <row r="960" spans="1:28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</row>
    <row r="961" spans="1:28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</row>
    <row r="962" spans="1:28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</row>
    <row r="963" spans="1:28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</row>
    <row r="964" spans="1:28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</row>
    <row r="965" spans="1:28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</row>
    <row r="966" spans="1:28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</row>
    <row r="967" spans="1:28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</row>
    <row r="968" spans="1:28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</row>
    <row r="969" spans="1:28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</row>
    <row r="970" spans="1:28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</row>
    <row r="971" spans="1:28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</row>
    <row r="972" spans="1:28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</row>
    <row r="973" spans="1:28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</row>
    <row r="974" spans="1:28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</row>
    <row r="975" spans="1:28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</row>
    <row r="976" spans="1:28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</row>
    <row r="977" spans="1:28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</row>
    <row r="978" spans="1:28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</row>
    <row r="979" spans="1:28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</row>
    <row r="980" spans="1:28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</row>
    <row r="981" spans="1:28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</row>
    <row r="982" spans="1:28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</row>
    <row r="983" spans="1:28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</row>
    <row r="984" spans="1:28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</row>
    <row r="985" spans="1:28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</row>
    <row r="986" spans="1:28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</row>
    <row r="987" spans="1:28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</row>
    <row r="988" spans="1:28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</row>
    <row r="989" spans="1:28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</row>
    <row r="990" spans="1:28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</row>
    <row r="991" spans="1:28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</row>
    <row r="992" spans="1:28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</row>
    <row r="993" spans="1:28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</row>
    <row r="994" spans="1:28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</row>
    <row r="995" spans="1:28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</row>
    <row r="996" spans="1:28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</row>
    <row r="997" spans="1:28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</row>
    <row r="998" spans="1:28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</row>
    <row r="999" spans="1:28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</row>
    <row r="1000" spans="1:28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</row>
    <row r="1001" spans="1:28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</row>
    <row r="1002" spans="1:28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D6EB-4568-4802-8E25-E325916EBAE7}">
  <sheetPr codeName="Sheet3"/>
  <dimension ref="C2:P17"/>
  <sheetViews>
    <sheetView showGridLines="0" workbookViewId="0">
      <selection activeCell="E9" sqref="E9:I17"/>
    </sheetView>
  </sheetViews>
  <sheetFormatPr defaultRowHeight="18.75"/>
  <cols>
    <col min="1" max="2" width="3.25" customWidth="1"/>
    <col min="4" max="4" width="18.25" customWidth="1"/>
    <col min="5" max="9" width="13.375" customWidth="1"/>
    <col min="10" max="10" width="15.75" customWidth="1"/>
    <col min="11" max="11" width="22.375" customWidth="1"/>
  </cols>
  <sheetData>
    <row r="2" spans="3:16">
      <c r="C2" t="s">
        <v>0</v>
      </c>
      <c r="D2" t="s">
        <v>94</v>
      </c>
    </row>
    <row r="3" spans="3:16">
      <c r="C3" t="s">
        <v>45</v>
      </c>
      <c r="D3" t="s">
        <v>3</v>
      </c>
    </row>
    <row r="4" spans="3:16">
      <c r="C4" t="s">
        <v>4</v>
      </c>
      <c r="D4" t="s">
        <v>96</v>
      </c>
    </row>
    <row r="5" spans="3:16">
      <c r="C5" t="s">
        <v>46</v>
      </c>
      <c r="D5" t="s">
        <v>81</v>
      </c>
    </row>
    <row r="6" spans="3:16">
      <c r="C6" s="13"/>
      <c r="D6" s="15"/>
      <c r="E6" s="42" t="s">
        <v>47</v>
      </c>
      <c r="F6" s="43"/>
      <c r="G6" s="43"/>
      <c r="H6" s="43"/>
      <c r="I6" s="44"/>
      <c r="J6" s="8" t="s">
        <v>48</v>
      </c>
      <c r="K6" s="9"/>
      <c r="L6" s="9"/>
      <c r="M6" s="9"/>
      <c r="N6" s="9"/>
      <c r="O6" s="9"/>
      <c r="P6" s="10"/>
    </row>
    <row r="7" spans="3:16">
      <c r="C7" s="18"/>
      <c r="D7" s="38"/>
      <c r="E7" s="45" t="s">
        <v>85</v>
      </c>
      <c r="F7" s="45" t="s">
        <v>80</v>
      </c>
      <c r="G7" s="45" t="s">
        <v>86</v>
      </c>
      <c r="H7" s="45" t="s">
        <v>87</v>
      </c>
      <c r="I7" s="45" t="s">
        <v>88</v>
      </c>
      <c r="J7" s="11" t="s">
        <v>49</v>
      </c>
      <c r="K7" s="9" t="s">
        <v>50</v>
      </c>
      <c r="L7" s="8" t="s">
        <v>51</v>
      </c>
      <c r="M7" s="9"/>
      <c r="N7" s="9"/>
      <c r="O7" s="9"/>
      <c r="P7" s="10"/>
    </row>
    <row r="8" spans="3:16">
      <c r="C8" s="19"/>
      <c r="D8" s="39"/>
      <c r="E8" s="45" t="s">
        <v>89</v>
      </c>
      <c r="F8" s="45" t="s">
        <v>90</v>
      </c>
      <c r="G8" s="45" t="s">
        <v>91</v>
      </c>
      <c r="H8" s="45" t="s">
        <v>92</v>
      </c>
      <c r="I8" s="45" t="s">
        <v>93</v>
      </c>
      <c r="J8" s="49"/>
      <c r="K8" s="47"/>
      <c r="L8" s="46" t="s">
        <v>89</v>
      </c>
      <c r="M8" s="47" t="s">
        <v>90</v>
      </c>
      <c r="N8" s="47" t="s">
        <v>91</v>
      </c>
      <c r="O8" s="47" t="s">
        <v>92</v>
      </c>
      <c r="P8" s="48" t="s">
        <v>93</v>
      </c>
    </row>
    <row r="9" spans="3:16">
      <c r="C9" s="13" t="s">
        <v>52</v>
      </c>
      <c r="D9" s="17" t="s">
        <v>12</v>
      </c>
      <c r="E9" s="17" t="str">
        <f>REPT("a", 1)</f>
        <v>a</v>
      </c>
      <c r="F9" s="40">
        <v>45701</v>
      </c>
      <c r="G9" s="40" t="str">
        <f>REPT("a", 2)</f>
        <v>aa</v>
      </c>
      <c r="H9" s="17" t="str">
        <f>REPT("z", 2)</f>
        <v>zz</v>
      </c>
      <c r="I9" s="17" t="str">
        <f>REPT("z", 64)</f>
        <v>zzzzzzzzzzzzzzzzzzzzzzzzzzzzzzzzzzzzzzzzzzzzzzzzzzzzzzzzzzzzzzzz</v>
      </c>
      <c r="J9" s="17">
        <v>200</v>
      </c>
      <c r="K9" s="17" t="s">
        <v>125</v>
      </c>
      <c r="L9" s="17"/>
      <c r="M9" s="17"/>
      <c r="N9" s="17"/>
      <c r="O9" s="17"/>
      <c r="P9" s="17"/>
    </row>
    <row r="10" spans="3:16">
      <c r="C10" s="18"/>
      <c r="D10" s="17" t="s">
        <v>13</v>
      </c>
      <c r="E10" s="17" t="str">
        <f>REPT("a", 32)</f>
        <v>aaaaaaaaaaaaaaaaaaaaaaaaaaaaaaaa</v>
      </c>
      <c r="F10" s="40">
        <v>45701</v>
      </c>
      <c r="G10" s="40" t="str">
        <f>REPT("a", 2)</f>
        <v>aa</v>
      </c>
      <c r="H10" s="17" t="str">
        <f>REPT("z", 2)</f>
        <v>zz</v>
      </c>
      <c r="I10" s="17" t="str">
        <f>REPT("z", 64)</f>
        <v>zzzzzzzzzzzzzzzzzzzzzzzzzzzzzzzzzzzzzzzzzzzzzzzzzzzzzzzzzzzzzzzz</v>
      </c>
      <c r="J10" s="17">
        <v>200</v>
      </c>
      <c r="K10" s="17" t="s">
        <v>125</v>
      </c>
      <c r="L10" s="17"/>
      <c r="M10" s="17"/>
      <c r="N10" s="17"/>
      <c r="O10" s="17"/>
      <c r="P10" s="17"/>
    </row>
    <row r="11" spans="3:16">
      <c r="C11" s="18"/>
      <c r="D11" s="17" t="s">
        <v>53</v>
      </c>
      <c r="E11" s="17" t="s">
        <v>54</v>
      </c>
      <c r="F11" s="40" t="s">
        <v>54</v>
      </c>
      <c r="G11" s="17" t="s">
        <v>54</v>
      </c>
      <c r="H11" s="17" t="s">
        <v>54</v>
      </c>
      <c r="I11" s="17" t="s">
        <v>54</v>
      </c>
      <c r="J11" s="17">
        <v>200</v>
      </c>
      <c r="K11" s="17" t="s">
        <v>125</v>
      </c>
      <c r="L11" s="17"/>
      <c r="M11" s="17"/>
      <c r="N11" s="17"/>
      <c r="O11" s="17"/>
      <c r="P11" s="17"/>
    </row>
    <row r="12" spans="3:16">
      <c r="C12" s="13" t="s">
        <v>56</v>
      </c>
      <c r="D12" s="17" t="s">
        <v>12</v>
      </c>
      <c r="E12" s="17" t="str">
        <f>REPT("a", 0)</f>
        <v/>
      </c>
      <c r="F12" s="40">
        <v>45701</v>
      </c>
      <c r="G12" s="40" t="str">
        <f>REPT("a", 1)</f>
        <v>a</v>
      </c>
      <c r="H12" s="17" t="str">
        <f>REPT("z", 2)</f>
        <v>zz</v>
      </c>
      <c r="I12" s="17" t="str">
        <f>REPT("z", 64)</f>
        <v>zzzzzzzzzzzzzzzzzzzzzzzzzzzzzzzzzzzzzzzzzzzzzzzzzzzzzzzzzzzzzzzz</v>
      </c>
      <c r="J12" s="17">
        <v>200</v>
      </c>
      <c r="K12" s="17" t="s">
        <v>124</v>
      </c>
      <c r="L12" s="17" t="s">
        <v>57</v>
      </c>
      <c r="M12" s="17"/>
      <c r="N12" s="17" t="s">
        <v>57</v>
      </c>
      <c r="O12" s="17"/>
      <c r="P12" s="17"/>
    </row>
    <row r="13" spans="3:16">
      <c r="C13" s="18"/>
      <c r="D13" s="17" t="s">
        <v>13</v>
      </c>
      <c r="E13" s="17" t="str">
        <f>REPT("a", 33)</f>
        <v>aaaaaaaaaaaaaaaaaaaaaaaaaaaaaaaaa</v>
      </c>
      <c r="F13" s="40">
        <v>45701</v>
      </c>
      <c r="G13" s="40" t="str">
        <f>REPT("a", 3)</f>
        <v>aaa</v>
      </c>
      <c r="H13" s="17" t="str">
        <f>REPT("z", 2)</f>
        <v>zz</v>
      </c>
      <c r="I13" s="17" t="str">
        <f>REPT("z", 65)</f>
        <v>zzzzzzzzzzzzzzzzzzzzzzzzzzzzzzzzzzzzzzzzzzzzzzzzzzzzzzzzzzzzzzzzz</v>
      </c>
      <c r="J13" s="17">
        <v>200</v>
      </c>
      <c r="K13" s="17" t="s">
        <v>124</v>
      </c>
      <c r="L13" s="17" t="s">
        <v>57</v>
      </c>
      <c r="M13" s="17"/>
      <c r="N13" s="17" t="s">
        <v>57</v>
      </c>
      <c r="O13" s="17"/>
      <c r="P13" s="17"/>
    </row>
    <row r="14" spans="3:16">
      <c r="C14" s="18"/>
      <c r="D14" s="17" t="s">
        <v>60</v>
      </c>
      <c r="E14" s="17" t="str">
        <f>REPT("z", 1)</f>
        <v>z</v>
      </c>
      <c r="F14" s="40">
        <v>45701</v>
      </c>
      <c r="G14" s="40" t="str">
        <f>REPT("z", 2)</f>
        <v>zz</v>
      </c>
      <c r="H14" s="17" t="str">
        <f>REPT("z", 2)</f>
        <v>zz</v>
      </c>
      <c r="I14" s="17" t="str">
        <f>REPT("z", 64)</f>
        <v>zzzzzzzzzzzzzzzzzzzzzzzzzzzzzzzzzzzzzzzzzzzzzzzzzzzzzzzzzzzzzzzz</v>
      </c>
      <c r="J14" s="17">
        <v>200</v>
      </c>
      <c r="K14" s="17" t="s">
        <v>124</v>
      </c>
      <c r="L14" s="17"/>
      <c r="M14" s="17"/>
      <c r="N14" s="17"/>
      <c r="O14" s="17"/>
      <c r="P14" s="17"/>
    </row>
    <row r="15" spans="3:16">
      <c r="C15" s="18"/>
      <c r="D15" s="17" t="s">
        <v>55</v>
      </c>
      <c r="E15" s="17"/>
      <c r="F15" s="40">
        <v>45701</v>
      </c>
      <c r="G15" s="40"/>
      <c r="H15" s="17"/>
      <c r="I15" s="17"/>
      <c r="J15" s="17">
        <v>200</v>
      </c>
      <c r="K15" s="17" t="s">
        <v>124</v>
      </c>
      <c r="L15" s="17"/>
      <c r="M15" s="17"/>
      <c r="N15" s="17"/>
      <c r="O15" s="17"/>
      <c r="P15" s="17"/>
    </row>
    <row r="16" spans="3:16">
      <c r="C16" s="18"/>
      <c r="D16" s="17" t="s">
        <v>62</v>
      </c>
      <c r="E16" s="17" t="str">
        <f>REPT(" ",1)</f>
        <v xml:space="preserve"> </v>
      </c>
      <c r="F16" s="40">
        <v>45701</v>
      </c>
      <c r="G16" s="40" t="str">
        <f>REPT(" ",2)</f>
        <v xml:space="preserve">  </v>
      </c>
      <c r="H16" s="17" t="s">
        <v>98</v>
      </c>
      <c r="I16" s="17" t="str">
        <f>REPT(" ",64)</f>
        <v xml:space="preserve">                                                                </v>
      </c>
      <c r="J16" s="17">
        <v>200</v>
      </c>
      <c r="K16" s="17" t="s">
        <v>124</v>
      </c>
      <c r="L16" s="17"/>
      <c r="M16" s="17"/>
      <c r="N16" s="17"/>
      <c r="O16" s="17"/>
      <c r="P16" s="17"/>
    </row>
    <row r="17" spans="3:16">
      <c r="C17" s="19"/>
      <c r="D17" s="17" t="s">
        <v>63</v>
      </c>
      <c r="E17" s="17" t="str">
        <f>REPT("　",1)</f>
        <v>　</v>
      </c>
      <c r="F17" s="40">
        <v>45701</v>
      </c>
      <c r="G17" s="40" t="str">
        <f>REPT("　",2)</f>
        <v>　　</v>
      </c>
      <c r="H17" s="17" t="s">
        <v>99</v>
      </c>
      <c r="I17" s="17" t="str">
        <f>REPT("　",64)</f>
        <v>　　　　　　　　　　　　　　　　　　　　　　　　　　　　　　　　　　　　　　　　　　　　　　　　　　　　　　　　　　　　　　　　</v>
      </c>
      <c r="J17" s="17">
        <v>200</v>
      </c>
      <c r="K17" s="17" t="s">
        <v>124</v>
      </c>
      <c r="L17" s="17"/>
      <c r="M17" s="17"/>
      <c r="N17" s="17"/>
      <c r="O17" s="17"/>
      <c r="P17" s="1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78F4-C74A-4C1B-84EB-3AADEAEC40C3}">
  <sheetPr codeName="Sheet8"/>
  <dimension ref="A1"/>
  <sheetViews>
    <sheetView workbookViewId="0">
      <selection activeCell="H26" sqref="H26"/>
    </sheetView>
  </sheetViews>
  <sheetFormatPr defaultRowHeight="18.75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9B98C-A376-4E66-A070-B17D5124C7FA}">
  <sheetPr codeName="Sheet7"/>
  <dimension ref="C2:AC18"/>
  <sheetViews>
    <sheetView showGridLines="0" workbookViewId="0">
      <selection activeCell="N25" sqref="N25"/>
    </sheetView>
  </sheetViews>
  <sheetFormatPr defaultColWidth="3.375" defaultRowHeight="18.75"/>
  <cols>
    <col min="14" max="14" width="17.5" bestFit="1" customWidth="1"/>
    <col min="15" max="15" width="18.125" bestFit="1" customWidth="1"/>
    <col min="16" max="19" width="6.25" customWidth="1"/>
    <col min="20" max="24" width="6.375" customWidth="1"/>
    <col min="27" max="27" width="17.625" customWidth="1"/>
    <col min="28" max="28" width="17" customWidth="1"/>
    <col min="29" max="29" width="38" bestFit="1" customWidth="1"/>
  </cols>
  <sheetData>
    <row r="2" spans="3:29">
      <c r="C2" s="1" t="s">
        <v>0</v>
      </c>
      <c r="D2" s="2"/>
      <c r="E2" s="2"/>
      <c r="F2" s="2"/>
      <c r="G2" s="3"/>
      <c r="H2" s="4" t="s">
        <v>1</v>
      </c>
      <c r="I2" s="5"/>
      <c r="J2" s="5"/>
      <c r="K2" s="5"/>
      <c r="L2" s="6"/>
    </row>
    <row r="3" spans="3:29">
      <c r="C3" s="1" t="s">
        <v>2</v>
      </c>
      <c r="D3" s="2"/>
      <c r="E3" s="2"/>
      <c r="F3" s="2"/>
      <c r="G3" s="3"/>
      <c r="H3" s="4" t="s">
        <v>3</v>
      </c>
      <c r="I3" s="5"/>
      <c r="J3" s="5"/>
      <c r="K3" s="5"/>
      <c r="L3" s="6"/>
    </row>
    <row r="4" spans="3:29">
      <c r="C4" s="1" t="s">
        <v>4</v>
      </c>
      <c r="D4" s="2"/>
      <c r="E4" s="2"/>
      <c r="F4" s="2"/>
      <c r="G4" s="3"/>
      <c r="H4" s="4" t="s">
        <v>5</v>
      </c>
      <c r="I4" s="5"/>
      <c r="J4" s="5"/>
      <c r="K4" s="5"/>
      <c r="L4" s="6"/>
    </row>
    <row r="9" spans="3:29">
      <c r="C9" s="7" t="s">
        <v>6</v>
      </c>
      <c r="AA9" s="7" t="s">
        <v>7</v>
      </c>
    </row>
    <row r="10" spans="3:29">
      <c r="C10" s="8" t="s">
        <v>8</v>
      </c>
      <c r="D10" s="9"/>
      <c r="E10" s="9"/>
      <c r="F10" s="9"/>
      <c r="G10" s="9"/>
      <c r="H10" s="9"/>
      <c r="I10" s="9"/>
      <c r="J10" s="9"/>
      <c r="K10" s="9"/>
      <c r="L10" s="9"/>
      <c r="M10" s="10"/>
      <c r="N10" s="11" t="s">
        <v>9</v>
      </c>
      <c r="O10" s="11" t="s">
        <v>10</v>
      </c>
      <c r="P10" s="11" t="s">
        <v>11</v>
      </c>
      <c r="Q10" s="11" t="s">
        <v>12</v>
      </c>
      <c r="R10" s="11" t="s">
        <v>13</v>
      </c>
      <c r="S10" s="11" t="s">
        <v>14</v>
      </c>
      <c r="AA10" s="12" t="s">
        <v>8</v>
      </c>
      <c r="AB10" s="12" t="s">
        <v>15</v>
      </c>
      <c r="AC10" s="12" t="s">
        <v>16</v>
      </c>
    </row>
    <row r="11" spans="3:29">
      <c r="C11" s="13" t="s">
        <v>17</v>
      </c>
      <c r="D11" s="14"/>
      <c r="E11" s="14"/>
      <c r="F11" s="14"/>
      <c r="G11" s="14"/>
      <c r="H11" s="14"/>
      <c r="I11" s="14"/>
      <c r="J11" s="14"/>
      <c r="K11" s="14"/>
      <c r="L11" s="14"/>
      <c r="M11" s="15"/>
      <c r="N11" s="16" t="s">
        <v>18</v>
      </c>
      <c r="O11" s="16" t="s">
        <v>79</v>
      </c>
      <c r="P11" s="16"/>
      <c r="Q11" s="16"/>
      <c r="R11" s="16"/>
      <c r="S11" s="16"/>
      <c r="AA11" s="17" t="s">
        <v>20</v>
      </c>
      <c r="AB11" s="17" t="s">
        <v>21</v>
      </c>
      <c r="AC11" s="17" t="s">
        <v>22</v>
      </c>
    </row>
    <row r="12" spans="3:29">
      <c r="C12" s="18"/>
      <c r="D12" s="4" t="s">
        <v>74</v>
      </c>
      <c r="E12" s="5"/>
      <c r="F12" s="5"/>
      <c r="G12" s="5"/>
      <c r="H12" s="5"/>
      <c r="I12" s="5"/>
      <c r="J12" s="5"/>
      <c r="K12" s="5"/>
      <c r="L12" s="5"/>
      <c r="M12" s="6"/>
      <c r="N12" s="17" t="s">
        <v>23</v>
      </c>
      <c r="O12" s="17" t="s">
        <v>24</v>
      </c>
      <c r="P12" s="17" t="s">
        <v>25</v>
      </c>
      <c r="Q12" s="17">
        <v>1</v>
      </c>
      <c r="R12" s="17"/>
      <c r="S12" s="17"/>
      <c r="AA12" s="17" t="s">
        <v>20</v>
      </c>
      <c r="AB12" s="17" t="s">
        <v>26</v>
      </c>
      <c r="AC12" s="17" t="s">
        <v>27</v>
      </c>
    </row>
    <row r="13" spans="3:29">
      <c r="C13" s="18"/>
      <c r="D13" s="4" t="s">
        <v>75</v>
      </c>
      <c r="E13" s="5"/>
      <c r="F13" s="5"/>
      <c r="G13" s="5"/>
      <c r="H13" s="5"/>
      <c r="I13" s="5"/>
      <c r="J13" s="5"/>
      <c r="K13" s="5"/>
      <c r="L13" s="5"/>
      <c r="M13" s="6"/>
      <c r="N13" s="17" t="s">
        <v>29</v>
      </c>
      <c r="O13" s="17" t="s">
        <v>30</v>
      </c>
      <c r="P13" s="17"/>
      <c r="Q13" s="17">
        <v>4</v>
      </c>
      <c r="R13" s="17">
        <v>16</v>
      </c>
      <c r="S13" s="17"/>
      <c r="AA13" s="17" t="s">
        <v>28</v>
      </c>
      <c r="AB13" s="17" t="s">
        <v>31</v>
      </c>
      <c r="AC13" s="17" t="s">
        <v>32</v>
      </c>
    </row>
    <row r="14" spans="3:29">
      <c r="C14" s="18"/>
      <c r="D14" s="4" t="s">
        <v>76</v>
      </c>
      <c r="E14" s="5"/>
      <c r="F14" s="5"/>
      <c r="G14" s="5"/>
      <c r="H14" s="5"/>
      <c r="I14" s="5"/>
      <c r="J14" s="5"/>
      <c r="K14" s="5"/>
      <c r="L14" s="5"/>
      <c r="M14" s="6"/>
      <c r="N14" s="17" t="s">
        <v>34</v>
      </c>
      <c r="O14" s="17" t="s">
        <v>35</v>
      </c>
      <c r="P14" s="17"/>
      <c r="Q14" s="17"/>
      <c r="R14" s="17"/>
      <c r="S14" s="17"/>
      <c r="AA14" s="17" t="s">
        <v>33</v>
      </c>
      <c r="AB14" s="17" t="s">
        <v>36</v>
      </c>
      <c r="AC14" s="17" t="s">
        <v>37</v>
      </c>
    </row>
    <row r="15" spans="3:29">
      <c r="C15" s="18"/>
      <c r="D15" s="4" t="s">
        <v>77</v>
      </c>
      <c r="E15" s="5"/>
      <c r="F15" s="5"/>
      <c r="G15" s="5"/>
      <c r="H15" s="5"/>
      <c r="I15" s="5"/>
      <c r="J15" s="5"/>
      <c r="K15" s="5"/>
      <c r="L15" s="5"/>
      <c r="M15" s="6"/>
      <c r="N15" s="17" t="s">
        <v>39</v>
      </c>
      <c r="O15" s="17" t="s">
        <v>24</v>
      </c>
      <c r="P15" s="17" t="s">
        <v>25</v>
      </c>
      <c r="Q15" s="17">
        <v>1</v>
      </c>
      <c r="R15" s="17">
        <v>5</v>
      </c>
      <c r="S15" s="17"/>
      <c r="AA15" s="17" t="s">
        <v>38</v>
      </c>
      <c r="AB15" s="17" t="s">
        <v>21</v>
      </c>
      <c r="AC15" s="17" t="s">
        <v>22</v>
      </c>
    </row>
    <row r="16" spans="3:29">
      <c r="C16" s="19"/>
      <c r="D16" s="4" t="s">
        <v>78</v>
      </c>
      <c r="E16" s="5"/>
      <c r="F16" s="5"/>
      <c r="G16" s="5"/>
      <c r="H16" s="5"/>
      <c r="I16" s="5"/>
      <c r="J16" s="5"/>
      <c r="K16" s="5"/>
      <c r="L16" s="5"/>
      <c r="M16" s="6"/>
      <c r="N16" s="17" t="s">
        <v>41</v>
      </c>
      <c r="O16" s="17" t="s">
        <v>30</v>
      </c>
      <c r="P16" s="17"/>
      <c r="Q16" s="17">
        <v>1</v>
      </c>
      <c r="R16" s="17">
        <v>128</v>
      </c>
      <c r="S16" s="17"/>
      <c r="AA16" s="17" t="s">
        <v>38</v>
      </c>
      <c r="AB16" s="17" t="s">
        <v>26</v>
      </c>
      <c r="AC16" s="17" t="s">
        <v>42</v>
      </c>
    </row>
    <row r="17" spans="27:29">
      <c r="AA17" s="17" t="s">
        <v>38</v>
      </c>
      <c r="AB17" s="17" t="s">
        <v>43</v>
      </c>
      <c r="AC17" s="17" t="s">
        <v>42</v>
      </c>
    </row>
    <row r="18" spans="27:29">
      <c r="AA18" s="17" t="s">
        <v>40</v>
      </c>
      <c r="AB18" s="17" t="s">
        <v>31</v>
      </c>
      <c r="AC18" s="17" t="s">
        <v>44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B3E4-8AB8-47CD-9E8B-E1A92D498E4B}">
  <sheetPr codeName="Sheet6"/>
  <dimension ref="C2:P17"/>
  <sheetViews>
    <sheetView showGridLines="0" workbookViewId="0">
      <selection activeCell="N25" sqref="N25"/>
    </sheetView>
  </sheetViews>
  <sheetFormatPr defaultRowHeight="18.75"/>
  <cols>
    <col min="1" max="2" width="3.25" customWidth="1"/>
    <col min="4" max="4" width="18.25" customWidth="1"/>
    <col min="5" max="9" width="13.375" customWidth="1"/>
    <col min="10" max="10" width="15.75" customWidth="1"/>
    <col min="11" max="11" width="22.375" customWidth="1"/>
  </cols>
  <sheetData>
    <row r="2" spans="3:16">
      <c r="C2" t="s">
        <v>0</v>
      </c>
      <c r="D2" t="s">
        <v>94</v>
      </c>
    </row>
    <row r="3" spans="3:16">
      <c r="C3" t="s">
        <v>45</v>
      </c>
      <c r="D3" t="s">
        <v>3</v>
      </c>
    </row>
    <row r="4" spans="3:16">
      <c r="C4" t="s">
        <v>4</v>
      </c>
      <c r="D4" t="s">
        <v>96</v>
      </c>
    </row>
    <row r="5" spans="3:16">
      <c r="C5" t="s">
        <v>46</v>
      </c>
      <c r="D5" t="s">
        <v>81</v>
      </c>
    </row>
    <row r="6" spans="3:16">
      <c r="C6" s="13"/>
      <c r="D6" s="15"/>
      <c r="E6" s="42" t="s">
        <v>47</v>
      </c>
      <c r="F6" s="43"/>
      <c r="G6" s="43"/>
      <c r="H6" s="43"/>
      <c r="I6" s="44"/>
      <c r="J6" s="8" t="s">
        <v>48</v>
      </c>
      <c r="K6" s="9"/>
      <c r="L6" s="9"/>
      <c r="M6" s="9"/>
      <c r="N6" s="9"/>
      <c r="O6" s="9"/>
      <c r="P6" s="10"/>
    </row>
    <row r="7" spans="3:16">
      <c r="C7" s="18"/>
      <c r="D7" s="38"/>
      <c r="E7" s="45" t="s">
        <v>85</v>
      </c>
      <c r="F7" s="45" t="s">
        <v>80</v>
      </c>
      <c r="G7" s="45" t="s">
        <v>86</v>
      </c>
      <c r="H7" s="45" t="s">
        <v>87</v>
      </c>
      <c r="I7" s="45" t="s">
        <v>88</v>
      </c>
      <c r="J7" s="11" t="s">
        <v>49</v>
      </c>
      <c r="K7" s="9" t="s">
        <v>50</v>
      </c>
      <c r="L7" s="8" t="s">
        <v>51</v>
      </c>
      <c r="M7" s="9"/>
      <c r="N7" s="9"/>
      <c r="O7" s="9"/>
      <c r="P7" s="10"/>
    </row>
    <row r="8" spans="3:16">
      <c r="C8" s="19"/>
      <c r="D8" s="39"/>
      <c r="E8" s="45" t="s">
        <v>89</v>
      </c>
      <c r="F8" s="45" t="s">
        <v>90</v>
      </c>
      <c r="G8" s="45" t="s">
        <v>91</v>
      </c>
      <c r="H8" s="45" t="s">
        <v>92</v>
      </c>
      <c r="I8" s="45" t="s">
        <v>93</v>
      </c>
      <c r="J8" s="49"/>
      <c r="K8" s="47"/>
      <c r="L8" s="46" t="s">
        <v>89</v>
      </c>
      <c r="M8" s="47" t="s">
        <v>90</v>
      </c>
      <c r="N8" s="47" t="s">
        <v>91</v>
      </c>
      <c r="O8" s="47" t="s">
        <v>92</v>
      </c>
      <c r="P8" s="48" t="s">
        <v>93</v>
      </c>
    </row>
    <row r="9" spans="3:16">
      <c r="C9" s="13" t="s">
        <v>52</v>
      </c>
      <c r="D9" s="17" t="s">
        <v>12</v>
      </c>
      <c r="E9" s="17" t="str">
        <f>REPT("a", 1)</f>
        <v>a</v>
      </c>
      <c r="F9" s="40">
        <v>45701</v>
      </c>
      <c r="G9" s="40" t="str">
        <f>REPT("a", 2)</f>
        <v>aa</v>
      </c>
      <c r="H9" s="17" t="str">
        <f>REPT("z", 2)</f>
        <v>zz</v>
      </c>
      <c r="I9" s="17" t="str">
        <f>REPT("z", 64)</f>
        <v>zzzzzzzzzzzzzzzzzzzzzzzzzzzzzzzzzzzzzzzzzzzzzzzzzzzzzzzzzzzzzzzz</v>
      </c>
      <c r="J9" s="17">
        <v>200</v>
      </c>
      <c r="K9" s="17" t="s">
        <v>125</v>
      </c>
      <c r="L9" s="17"/>
      <c r="M9" s="17"/>
      <c r="N9" s="17"/>
      <c r="O9" s="17"/>
      <c r="P9" s="17"/>
    </row>
    <row r="10" spans="3:16">
      <c r="C10" s="18"/>
      <c r="D10" s="17" t="s">
        <v>13</v>
      </c>
      <c r="E10" s="17" t="str">
        <f>REPT("a", 32)</f>
        <v>aaaaaaaaaaaaaaaaaaaaaaaaaaaaaaaa</v>
      </c>
      <c r="F10" s="40">
        <v>45701</v>
      </c>
      <c r="G10" s="40" t="str">
        <f>REPT("a", 2)</f>
        <v>aa</v>
      </c>
      <c r="H10" s="17" t="str">
        <f>REPT("z", 2)</f>
        <v>zz</v>
      </c>
      <c r="I10" s="17" t="str">
        <f>REPT("z", 64)</f>
        <v>zzzzzzzzzzzzzzzzzzzzzzzzzzzzzzzzzzzzzzzzzzzzzzzzzzzzzzzzzzzzzzzz</v>
      </c>
      <c r="J10" s="17">
        <v>200</v>
      </c>
      <c r="K10" s="17" t="s">
        <v>125</v>
      </c>
      <c r="L10" s="17"/>
      <c r="M10" s="17"/>
      <c r="N10" s="17"/>
      <c r="O10" s="17"/>
      <c r="P10" s="17"/>
    </row>
    <row r="11" spans="3:16">
      <c r="C11" s="18"/>
      <c r="D11" s="17" t="s">
        <v>53</v>
      </c>
      <c r="E11" s="17" t="s">
        <v>54</v>
      </c>
      <c r="F11" s="40" t="s">
        <v>54</v>
      </c>
      <c r="G11" s="17" t="s">
        <v>54</v>
      </c>
      <c r="H11" s="17" t="s">
        <v>54</v>
      </c>
      <c r="I11" s="17" t="s">
        <v>54</v>
      </c>
      <c r="J11" s="17">
        <v>200</v>
      </c>
      <c r="K11" s="17" t="s">
        <v>125</v>
      </c>
      <c r="L11" s="17"/>
      <c r="M11" s="17"/>
      <c r="N11" s="17"/>
      <c r="O11" s="17"/>
      <c r="P11" s="17"/>
    </row>
    <row r="12" spans="3:16">
      <c r="C12" s="13" t="s">
        <v>56</v>
      </c>
      <c r="D12" s="17" t="s">
        <v>12</v>
      </c>
      <c r="E12" s="17" t="str">
        <f>REPT("a", 0)</f>
        <v/>
      </c>
      <c r="F12" s="40">
        <v>45701</v>
      </c>
      <c r="G12" s="40" t="str">
        <f>REPT("a", 1)</f>
        <v>a</v>
      </c>
      <c r="H12" s="17" t="str">
        <f>REPT("z", 2)</f>
        <v>zz</v>
      </c>
      <c r="I12" s="17" t="str">
        <f>REPT("z", 64)</f>
        <v>zzzzzzzzzzzzzzzzzzzzzzzzzzzzzzzzzzzzzzzzzzzzzzzzzzzzzzzzzzzzzzzz</v>
      </c>
      <c r="J12" s="17">
        <v>200</v>
      </c>
      <c r="K12" s="17" t="s">
        <v>124</v>
      </c>
      <c r="L12" s="17" t="s">
        <v>57</v>
      </c>
      <c r="M12" s="17"/>
      <c r="N12" s="17" t="s">
        <v>57</v>
      </c>
      <c r="O12" s="17"/>
      <c r="P12" s="17"/>
    </row>
    <row r="13" spans="3:16">
      <c r="C13" s="18"/>
      <c r="D13" s="17" t="s">
        <v>13</v>
      </c>
      <c r="E13" s="17" t="str">
        <f>REPT("a", 33)</f>
        <v>aaaaaaaaaaaaaaaaaaaaaaaaaaaaaaaaa</v>
      </c>
      <c r="F13" s="40">
        <v>45701</v>
      </c>
      <c r="G13" s="40" t="str">
        <f>REPT("a", 3)</f>
        <v>aaa</v>
      </c>
      <c r="H13" s="17" t="str">
        <f>REPT("z", 2)</f>
        <v>zz</v>
      </c>
      <c r="I13" s="17" t="str">
        <f>REPT("z", 65)</f>
        <v>zzzzzzzzzzzzzzzzzzzzzzzzzzzzzzzzzzzzzzzzzzzzzzzzzzzzzzzzzzzzzzzzz</v>
      </c>
      <c r="J13" s="17">
        <v>200</v>
      </c>
      <c r="K13" s="17" t="s">
        <v>124</v>
      </c>
      <c r="L13" s="17" t="s">
        <v>57</v>
      </c>
      <c r="M13" s="17"/>
      <c r="N13" s="17" t="s">
        <v>57</v>
      </c>
      <c r="O13" s="17"/>
      <c r="P13" s="17"/>
    </row>
    <row r="14" spans="3:16">
      <c r="C14" s="18"/>
      <c r="D14" s="17" t="s">
        <v>60</v>
      </c>
      <c r="E14" s="17" t="str">
        <f>REPT("z", 1)</f>
        <v>z</v>
      </c>
      <c r="F14" s="40">
        <v>45701</v>
      </c>
      <c r="G14" s="40" t="str">
        <f>REPT("z", 2)</f>
        <v>zz</v>
      </c>
      <c r="H14" s="17" t="str">
        <f>REPT("z", 2)</f>
        <v>zz</v>
      </c>
      <c r="I14" s="17" t="str">
        <f>REPT("z", 64)</f>
        <v>zzzzzzzzzzzzzzzzzzzzzzzzzzzzzzzzzzzzzzzzzzzzzzzzzzzzzzzzzzzzzzzz</v>
      </c>
      <c r="J14" s="17">
        <v>200</v>
      </c>
      <c r="K14" s="17" t="s">
        <v>124</v>
      </c>
      <c r="L14" s="17"/>
      <c r="M14" s="17"/>
      <c r="N14" s="17"/>
      <c r="O14" s="17"/>
      <c r="P14" s="17"/>
    </row>
    <row r="15" spans="3:16">
      <c r="C15" s="18"/>
      <c r="D15" s="17" t="s">
        <v>55</v>
      </c>
      <c r="E15" s="17"/>
      <c r="F15" s="40">
        <v>45701</v>
      </c>
      <c r="G15" s="40"/>
      <c r="H15" s="17"/>
      <c r="I15" s="17"/>
      <c r="J15" s="17">
        <v>200</v>
      </c>
      <c r="K15" s="17" t="s">
        <v>124</v>
      </c>
      <c r="L15" s="17"/>
      <c r="M15" s="17"/>
      <c r="N15" s="17"/>
      <c r="O15" s="17"/>
      <c r="P15" s="17"/>
    </row>
    <row r="16" spans="3:16">
      <c r="C16" s="18"/>
      <c r="D16" s="17" t="s">
        <v>62</v>
      </c>
      <c r="E16" s="17" t="str">
        <f>REPT(" ",1)</f>
        <v xml:space="preserve"> </v>
      </c>
      <c r="F16" s="40">
        <v>45701</v>
      </c>
      <c r="G16" s="40" t="str">
        <f>REPT(" ",2)</f>
        <v xml:space="preserve">  </v>
      </c>
      <c r="H16" s="17" t="s">
        <v>98</v>
      </c>
      <c r="I16" s="17" t="str">
        <f>REPT(" ",64)</f>
        <v xml:space="preserve">                                                                </v>
      </c>
      <c r="J16" s="17">
        <v>200</v>
      </c>
      <c r="K16" s="17" t="s">
        <v>124</v>
      </c>
      <c r="L16" s="17"/>
      <c r="M16" s="17"/>
      <c r="N16" s="17"/>
      <c r="O16" s="17"/>
      <c r="P16" s="17"/>
    </row>
    <row r="17" spans="3:16">
      <c r="C17" s="19"/>
      <c r="D17" s="17" t="s">
        <v>63</v>
      </c>
      <c r="E17" s="17" t="str">
        <f>REPT("　",1)</f>
        <v>　</v>
      </c>
      <c r="F17" s="40">
        <v>45701</v>
      </c>
      <c r="G17" s="40" t="str">
        <f>REPT("　",2)</f>
        <v>　　</v>
      </c>
      <c r="H17" s="17" t="s">
        <v>99</v>
      </c>
      <c r="I17" s="17" t="str">
        <f>REPT("　",64)</f>
        <v>　　　　　　　　　　　　　　　　　　　　　　　　　　　　　　　　　　　　　　　　　　　　　　　　　　　　　　　　　　　　　　　　</v>
      </c>
      <c r="J17" s="17">
        <v>200</v>
      </c>
      <c r="K17" s="17" t="s">
        <v>124</v>
      </c>
      <c r="L17" s="17"/>
      <c r="M17" s="17"/>
      <c r="N17" s="17"/>
      <c r="O17" s="17"/>
      <c r="P17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レビュー登録</vt:lpstr>
      <vt:lpstr>レビュー登録_単体テスト</vt:lpstr>
      <vt:lpstr>タスク登録</vt:lpstr>
      <vt:lpstr>タスク登録_単体テスト</vt:lpstr>
      <vt:lpstr>if◀▶tt</vt:lpstr>
      <vt:lpstr>Sheet3</vt:lpstr>
      <vt:lpstr>Sheet4</vt:lpstr>
      <vt:lpstr>Sheet2</vt:lpstr>
      <vt:lpstr>tt◀▶fmt</vt:lpstr>
      <vt:lpstr>フォーマットIF</vt:lpstr>
      <vt:lpstr>フォーマット単体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深澤正樹</dc:creator>
  <cp:lastModifiedBy>正樹 深澤</cp:lastModifiedBy>
  <dcterms:created xsi:type="dcterms:W3CDTF">2015-06-05T18:19:34Z</dcterms:created>
  <dcterms:modified xsi:type="dcterms:W3CDTF">2025-02-13T06:49:58Z</dcterms:modified>
</cp:coreProperties>
</file>